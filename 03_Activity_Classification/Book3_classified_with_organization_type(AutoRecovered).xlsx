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esktop\NLP\הכנת דוח למנחה\"/>
    </mc:Choice>
  </mc:AlternateContent>
  <xr:revisionPtr revIDLastSave="0" documentId="13_ncr:2001_{E29618D6-AAE7-4137-B89C-758CA7655255}" xr6:coauthVersionLast="47" xr6:coauthVersionMax="47" xr10:uidLastSave="{00000000-0000-0000-0000-000000000000}"/>
  <bookViews>
    <workbookView xWindow="28690" yWindow="-110" windowWidth="29020" windowHeight="15700" xr2:uid="{00000000-000D-0000-FFFF-FFFF00000000}"/>
  </bookViews>
  <sheets>
    <sheet name="Graf" sheetId="8" r:id="rId1"/>
    <sheet name="Classification_Template" sheetId="1" r:id="rId2"/>
    <sheet name="Sheet2" sheetId="7" r:id="rId3"/>
    <sheet name="Lists" sheetId="2" r:id="rId4"/>
    <sheet name="Field_Definitions" sheetId="3" r:id="rId5"/>
    <sheet name="Instructions" sheetId="4" r:id="rId6"/>
    <sheet name="Graf (2)" sheetId="11" r:id="rId7"/>
  </sheets>
  <definedNames>
    <definedName name="_xlnm._FilterDatabase" localSheetId="6" hidden="1">'Graf (2)'!$B$19:$D$28</definedName>
  </definedNames>
  <calcPr calcId="191029"/>
  <pivotCaches>
    <pivotCache cacheId="0" r:id="rId8"/>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8" i="11" l="1"/>
  <c r="C39" i="11"/>
  <c r="B39" i="11"/>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C4" i="11"/>
</calcChain>
</file>

<file path=xl/sharedStrings.xml><?xml version="1.0" encoding="utf-8"?>
<sst xmlns="http://schemas.openxmlformats.org/spreadsheetml/2006/main" count="1068" uniqueCount="329">
  <si>
    <t>Revenue</t>
  </si>
  <si>
    <t>extract_ein</t>
  </si>
  <si>
    <t>Org_mission</t>
  </si>
  <si>
    <t>Main Theme</t>
  </si>
  <si>
    <t>Organization Type</t>
  </si>
  <si>
    <t>DALY Mapping Status</t>
  </si>
  <si>
    <t>Confidence</t>
  </si>
  <si>
    <t>Notes</t>
  </si>
  <si>
    <t>Reviewer</t>
  </si>
  <si>
    <t>Review Date</t>
  </si>
  <si>
    <t>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U.S. and its territories. ASNF provides access to every patient who qualifies.</t>
  </si>
  <si>
    <t>Patient Support</t>
  </si>
  <si>
    <t>Patient Assistance Foundation</t>
  </si>
  <si>
    <t>Activity-based / Indirect</t>
  </si>
  <si>
    <t>High</t>
  </si>
  <si>
    <t>UNIVERSITY MEDICAL CENTER NEW ORLEANS WILL BE A LEADING WORLD-CLASS ACADEMIC (CONT'D ON SCH. O) MEDICAL CENTER AND THE DESTINATION OF CHOICE FOR EXCEPTIONAL HEALTHCARE. UNIVERSITY MEDICAL CENTER WILL PROVIDE EXCEPTIONAL PATIENT-CENTERED CARE AND A WORLD-CLASS ACADEMIC EXPERIENCE THROUGH ADVANCED RESEARCH, LEADING TECHNOLOGY AND INNOVATION.</t>
  </si>
  <si>
    <t>Healthcare Services</t>
  </si>
  <si>
    <t>Academic Medical Center</t>
  </si>
  <si>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</si>
  <si>
    <t>Patient Support Organization</t>
  </si>
  <si>
    <t>Disease-specific (Dictionary Needed)</t>
  </si>
  <si>
    <t>Medium</t>
  </si>
  <si>
    <t>TO DISCOVER AND TRANSLATE INNOVATIVE LABORATORY FINDINGS INTO NEW CLINICAL TREATMENTS BY USING PRACTICAL APPLICATIONS OF CHEMISTRY, PHYSICS AND BIOLOGY.</t>
  </si>
  <si>
    <t>Medical Research</t>
  </si>
  <si>
    <t>Research Organization</t>
  </si>
  <si>
    <t>Lifespan Physician Group, Inc. (LPG) was organized to provide accountable patient-centered, high quality, efficient, value-based, and innovative care to serve the health care needs of the communities in Rhode Island and elsewhere. The mission of LPG is: Delivering health with care.</t>
  </si>
  <si>
    <t>Physician Group / Clinical Practice</t>
  </si>
  <si>
    <t>CAP, THE LEADING ORG OF BOARD-CERTIFIED PATHOLOGISTS, SERVES PATIENTS, PATHOLOGISTS &amp; THE PUBLIC BY FOSTERING &amp; ADVOCATING EXELLENCE IN THE PRACTICE OF PATHOLOGY &amp; LAB MEDICINE</t>
  </si>
  <si>
    <t>Education &amp; Professional Development</t>
  </si>
  <si>
    <t>Professional Society / Association</t>
  </si>
  <si>
    <t>General Medical Area</t>
  </si>
  <si>
    <t>PEDIATRIC FACULTY FOUNDATION, INC., EMPLOYS PEDIATRIC MEDICINE SPECIALISTS &amp; SUBSPECIALISTS WHO PRACTICE AT LURIE CHILDREN'S OR A PARTNER SITE AND PROVIDE QUALITY HEALTH CARE TO CHILDREN IN THE COMMUNITY.</t>
  </si>
  <si>
    <t>Needs Review</t>
  </si>
  <si>
    <t>TO DRIVE A NEW ERA OF DISCOVERY IN DISEASE ORIENTED SCIENCE AND TO MENTOR TOMORROW'S LEADERS IN AN INSPIRING AND DIVERSE ENVIRONMENT.</t>
  </si>
  <si>
    <t>THE FUND FOR PUBLIC HEALTH IN NYC IS DEDICATED TO THE WELL-BEING OF ALL NYC RESIDENTS, IMPLEMENTING PROGRAMS IN COLLABORATION WITH THE NYC HEALTH DEPARTMENT, LEVERAGING ITS EXPERTISE IN FUNDRAISING, PUBLIC/PRIVATE PARTNERSHIPS, AND AGILE OPERATIONS TO HELP THE NYC HEALTH DEPARTMENT DO MORE, MORE QUICKLY.</t>
  </si>
  <si>
    <t>Public Health</t>
  </si>
  <si>
    <t>Public Health Organization</t>
  </si>
  <si>
    <t>THE FEINSTEIN INSTITUTE FOR MEDICAL RESEARCH STRIVES TO IMPROVE THE HEALTH OF THE COMMUNITIES IT SERVES AND IS COMMITTED TO FINDING NEW ADVANCES IN MEDICINE THROUGH RESEARCH</t>
  </si>
  <si>
    <t>Research Institute / Center</t>
  </si>
  <si>
    <t>PROVIDE HIGH QUALITY, COMPREHENSIVE HEALTHCARE SERVICES TO CHILDREN.</t>
  </si>
  <si>
    <t>Clinical Services Organization</t>
  </si>
  <si>
    <t>TO RECOVER AND ALLOCATE ORGANS AND TISSUES USED IN LIFE-SAVING AND LIFE-ENHANCING TRANSPLANTS.</t>
  </si>
  <si>
    <t>Organ Procurement / Transplant Organization</t>
  </si>
  <si>
    <t>The Foundation provides medical research and educational services to Boston (see Schedule O) Children's Hospital and Harvard Medical School. The Foundation also provides care for patients in Massachusetts regardless of their ability to pay, as well as providing and supporting hospital and community based services that are either unavailable or limited elsewhere in the community.</t>
  </si>
  <si>
    <t>Hospital / Medical Center</t>
  </si>
  <si>
    <t>THE MISSION OF THE MICHIGAN HEALTH ENDOWMENT FUND IS TO IMPROVE THE HEALTH OF MICHIGAN RESIDENTS, WITH SPECIAL EMPHASIS ON THE HEALTH AND WELLNESS OF CHILDREN AND SENIORS, WHILE REDUCING THE COST OF HEALTH CARE.</t>
  </si>
  <si>
    <t>Health Funding &amp; Grantmaking</t>
  </si>
  <si>
    <t>Grantmaking Foundation / Endowment</t>
  </si>
  <si>
    <t>COORDINATION OF ONCOLOGY CLINICAL RESEARCH, EDUCATION AND PROGRAMS ACROSS DANA-FARBER, MASSACHUSETTS GENERAL HOSPITAL AND BRIGHAM AND WOMEN'S HOSPITAL.</t>
  </si>
  <si>
    <t>ICDDR,B based in Dhaka, Bangladesh is committed to solving public health problems facing low and middle income countries through innovative scientific research, including laboratory based, clinical, epidemiological and health systems research.</t>
  </si>
  <si>
    <t>PROVIDE GRANTS TO ORGANIZATIONS WORKING TO BUILD THRIVING COMMUNITIES IN CHICAGOLAND.</t>
  </si>
  <si>
    <t>Each year we send hospital ships filled with volunteer professionals who selflessly provide life-changing surgeries.</t>
  </si>
  <si>
    <t>IMPROVE PATIENT CARE AND THE HEALTH OF OUR COMMUNITY THROUGH RESEARCH AND EDUCATION.</t>
  </si>
  <si>
    <t>To provide affordable, quality healthcare to our community.</t>
  </si>
  <si>
    <t>THE FOUNDATION FOR ANGELMAN SYNDROME THERAPEUTICS (FAST) IS DEDICATED TO FINDING A CURE FOR ANGELMAN SYNDROME (AS) AND RELATED DISORDERS THROUGH THE FUNDING OF AN AGGRESSIVE RESEARCH AGENDA, EDUCATION, AWARENESS, AND ADVOCACY.</t>
  </si>
  <si>
    <t>Patient Advocacy Organization</t>
  </si>
  <si>
    <t>ADVANCING THE PRACTICE AND SECURING THE FUTURE OF ANESTHESIOLOGY THROUGH MEDICAL EDUCATION, CREATION AND DISSEMINATION OF NEW KNOWLEDGE, IMPROVEMENT OF PATIENT CARE, AND LEGISLATIVE AND REGULATORY ADVOCACY.</t>
  </si>
  <si>
    <t>THE ORGANIZATION PROVIDES HIGH QUALITY MEDICAL CARE TO THE COMMUNITY THAT IT SERVES AND SPECIFICALLY PROVIDES CARDIOLOGY &amp; RELATED PROFESSIONAL MEDICAL SERVICES IN CONJUNCTION WITH HMH HOSPITALS CORP.</t>
  </si>
  <si>
    <t>REPRESENT MEDICAL DIAGNOSTICS &amp; DEVICE MANUFACTURERS ON REGULATORY &amp; LEGISLATIVE ISSUES.</t>
  </si>
  <si>
    <t>PLEASE SEE SCHEDULE O</t>
  </si>
  <si>
    <t>SEEKS TO STRATEGICALLY CHANGE PRACTICES AND SITUATIONS THROUGH ART, EDUCATION, SPIRITUALITY, AND SOCIAL SERVICES.</t>
  </si>
  <si>
    <t>Education / Training Organization</t>
  </si>
  <si>
    <t>see Schedule O</t>
  </si>
  <si>
    <t>See Schedule O.</t>
  </si>
  <si>
    <t>TO ENRICH PEOPLES LIVES THROUGH A BROAD RANGE OF SERVICES, &amp; AN UNWAVERING COMMITMENT TO EXCELLENCE.</t>
  </si>
  <si>
    <t>PROMOTING LEADERSHIP IN DERMATOLOGY AND EXCELLENCE IN PATIENT CARE THROUGH EDUCATION, RESEARCH, AND ADVOCACY.</t>
  </si>
  <si>
    <t>ESTABLISHMENT OF STANDARDS FOR EDUCATION, TRAINING AND CERTIFICATION OF FAMILY PHYSICIANS</t>
  </si>
  <si>
    <t>TO EXPAND THE USE OF COPPER WORLDWIDE BY SPONSORING AND MANAGING MARKET DEVELOPMENT AND TECHNOLOGICAL ACTIVITIES ON A GLOBAL BASIS.</t>
  </si>
  <si>
    <t>Global Health Organization</t>
  </si>
  <si>
    <t>TO ENHANCE THE ABILITY OF CARDIOTHORACIC SURGEONS TO PROVIDE THE HIGHEST QUALITY PATIENT CARE.</t>
  </si>
  <si>
    <t>CHILDREN'S CLINIC NETWORK CHAMPIONS THE SPECIAL HEALTH NEEDS OF CHILDREN AND THEIR FAMILIES.</t>
  </si>
  <si>
    <t>LIFELONG REMOVES BARRIERS TO HEALTH WITH RELENTLESS COMPASSION SO THAT NO ONE FACES ILLNESS AND INJUSTICE ALONE.</t>
  </si>
  <si>
    <t>OUR MISSION IS TO PROVIDE HIGH QUALITY, INDIVIDUALIZED, COMPREHENSIVE AND INNOVATIVE SERVICES WHICH SUPPORT, EDUCATE AND EMPOWER INDIVIDUALS WITH LEARNING DISABILITIES, NEUROLOGICAL IMPAIRMENT AND OTHER DISABILITIES WITH SIMILAR NEEDS.</t>
  </si>
  <si>
    <t>TO IMPROVE HEALTH ONE PATIENT AT A TIME IN A FRIENDLY AND PROFESSIONAL CULTURE COMMITTED TO SUPERIOR QUALITY AND SAFETY.</t>
  </si>
  <si>
    <t>BUILDING A THRIVING RURAL AMERICA THROUGH LEADERSHIP, COLLABORATION, ECONOMIC OPPORTUNITY AND RESILIENT INFRASTRUCTURE.</t>
  </si>
  <si>
    <t>Fort Sanders Perinatal Center works closely with the women's services department at Fort Sanders Regional Medical Center providing comprehensive obstetrical services to women, including women with high-risk pregnancies. Fort Sanders Perinatal Center is located in the Fort Sanders community of downtown Knoxville, Tennessee, and is a member of the Covenant Health system.</t>
  </si>
  <si>
    <t>ADDGENE, INC. PROVIDES RESEARCH SUPPORT SERVICE DEDICATED TO ARCHIVING AND DISTRIBUTING PLASMIDS THAT APPEAR IN PUBLISHED ARTICLES. BY LINKING PLASMIDS WITH PUBLICATIONS, SCIENTISTS ARE ALWAYS CONNECTED TO DATA GENERATED FROM THE MATERIALS THAT THEY ARE REQUESTING. THE COMPANY'S GOAL IS TO COMPILE A COMPREHENSIVE LIBRARY OF PLASMIDS TO FACILITATE RESEARCH AND DISCOVERY.</t>
  </si>
  <si>
    <t>TO PROVIDE HIGH-QUALITY COMPREHENSIVE HEALTHCARE WITH COMPASSION, DIGNITY AND RESPECT.</t>
  </si>
  <si>
    <t>ORTHOPAEDIC SPECIALTY SERVICES</t>
  </si>
  <si>
    <t>ENHANCE THE TECHNOLOGICAL COMPETENCE AND KNOWLEDGE OF THE U.S. MANUFACTURING INDUSTRY BY FOSTERING ADVANCED TECHNOLOGICAL RESEARCH AND DEVELOPMENT AND INNOVATIVE METHODS OF TECHNOLOGICAL EDUCATION FOR THE BETTERMENT OF THE GENERAL PUBLIC AND THE ACADEMIC, SCIENTIFIC, AND MANUFACTURING COMMUNITIES.</t>
  </si>
  <si>
    <t>RIDGEVIEW SIBLEY MEDICAL CENTER EXISTS TO ENHANCE THE LIFELONG HEALTH OF THE PEOPLE WE SERVE WITH A CULTURE THAT NURTURES THE WHOLE PERSONMIND, BODY AND SPIRIT.</t>
  </si>
  <si>
    <t>TO PROMOTE THE GENERAL WELFARE OF DEVELOPMENTALLY DISABLED AND/OR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</si>
  <si>
    <t>A UNIVERSITY GOVERNED CONSORTIUM FACILITATING GEOSCIENCE RESEARCH AND EDUCATION USING GEODESY.</t>
  </si>
  <si>
    <t>TO CERTIFY THAT OUR DIPLOMATES DEMONSTRATE THE REQUISITE KNOWLEDGE, SKILL, AND UNDERSTANDING OF THEIR DISCIPLINE TO THE BENEFIT OF PATIENTS.</t>
  </si>
  <si>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</si>
  <si>
    <t>PROMOTION OF PUBLIC HEALTH.</t>
  </si>
  <si>
    <t>CONDUCTING MEDICAL RESEARCH WITH HOSPITALS TO REDUCE HEALTHCARE COSTS WITH A FOCUS ON SENIORS.</t>
  </si>
  <si>
    <t>THE AGENCY PROVIDES SERVICES TO INDIVIDUALS WITH DEVELOPMENTAL DISABILITIES, INCLUDING RESIDENTIAL, DAY PROGRAM AND COMMUNITY HABILITATION.</t>
  </si>
  <si>
    <t>Non-health / Other</t>
  </si>
  <si>
    <t>Non-health Organization</t>
  </si>
  <si>
    <t>Not Applicable / Non-health</t>
  </si>
  <si>
    <t>MASSBIO IS COMMITTED TO ADVANCING MASSACHUSETTS' LEADERSHIP IN THE LIFE SCIENCES TO GROW THE INDUSTRY, ADD VALUE TO THE HEALTH CARE SYSTEM AND IMPROVE PATIENT LIVES.</t>
  </si>
  <si>
    <t>CONDUCT CUTTING EDGE MEDICAL RESEARCH</t>
  </si>
  <si>
    <t>THE ORGANIZATION'S MISSION IS TO IMPROVE THE QUALITY OF LIFE OF THE DEVELOPMENTALLY DISABLED BY PROVIDING TRAINING AND EDUCATIONAL SERVICES, RESIDENTIAL SERVICES AND TO BE AN ADVOCATE FOR THE DEVELOPMENTALLY DISABLED AND TO PROVIDE SUPPORT TO THEIR FAMILIES.</t>
  </si>
  <si>
    <t>PROMOTING LEADERSHIP IN DERMATOLOGY AND EXCELLENCE IN PATIENT CARE THROUGH RESEARCH AND ADVOCACY.</t>
  </si>
  <si>
    <t>NON-PROFIT ORGANIZATION DEDICATED TO ADVANCE AND IMPROVE THE CARE OF INDIVIDUALS WITH BLEEDING AND CLOTTING DISORDERS.</t>
  </si>
  <si>
    <t>DEDICATION TO KEEPING PEOPLE PHYSICALLY ACTIVE THROUGH ORTHOPAEDIC RESEARCH AND EDUCATION.</t>
  </si>
  <si>
    <t>REFER TO SCHEDULE O.THE JACOBS INSTITUTE, INC., LOCATED IN BUFFALO, NEW YORK, WAS FORMED IN 2008 TO ACCOMPLISH THE VISION OF MAKING WESTERN NEW YORK A CENTER FOR WORLD-CLASS EXCELLENCE IN RESEARCH, TEACHING, PUBLIC AWARENESS AND ADVANCES IN CLINICAL AND MINIMALLY-INVASIVE SURGICAL TREATMENT OF GLOBAL VASCULAR DISEASE.</t>
  </si>
  <si>
    <t>THE FOGARTY INSTITUTE FOR INNOVATION IS DEDICATED TO FINDING NEW WAYS TO TREAT ILLNESSES AND IMPROVE THE WELL-BEING OF PATIENTS THROUGH THE PRACTICAL APPLICATION OF INNOVATIVE IDEAS AND THE EDUCATION AND MENTORING OF MEDICAL INNOVATORS.</t>
  </si>
  <si>
    <t>SUPERIOR HEALTH QUALITY ALLIANCE, INC. (SUPERIOR HEALTH) IMPROVES HEALTH CARE QUALITY, EXPERIENCE, AND EQUITY ACROSS THE CONTINUUM OF CARE. WE FOCUS ON INNOVATION, EFFECTIVENESS AND EFFICIENCY IN DESIGNING AND IMPLEMENTING QUALITY IMPROVEMENT INITIATIVES THAT ARE PERSON-CENTERED AND INTEGRATED ACROSS SETTINGS AND SERVICES. SUPERIOR HEALTH LEVERAGES EXTENSIVE QUALITY IMPROVEMENT EXPERIENCE AND EXPERTISE BY BRINGING THE POWER OF EIGHT ORGANIZATIONS TOGETHER TO ACHIEVE THIS MISSION.</t>
  </si>
  <si>
    <t>Health Quality / Accreditation Organization</t>
  </si>
  <si>
    <t>HEALTH MANAGEMENT GROUP PROVIDES ADMINISTRATIVE SERVICES TO RELATED NON-PROFIT ORGANIZATIONS.</t>
  </si>
  <si>
    <t>CGHI EXISTS TO ADVANCE GLOBAL HEALTH EQUITY BY PROMOTING AND FACILITATING COLLABORATION TO DRIVE IMPACTFUL INNOVATION.</t>
  </si>
  <si>
    <t>ORGANIZE, CONDUCT, AND FUND RESEARCH, FOSTER COLLABORATION THROUGH MEETINGS, SYMPOSIA AND WORKSHOPS, CULTIVATE THE NEXT GENERATION THROUGH FELLOWSHIPS AND INTERNSHIPS, AND COLLECT AND DISSEMINATE KNOWLEDGE.</t>
  </si>
  <si>
    <t>SEE SCHEDULE O</t>
  </si>
  <si>
    <t>THE CARMELITE SYSTEM, INC. HAS BEEN ORGANIZED TO PERPETUATE LONG-TERM HEALTH MINISTRY IN CONFORMANCE WITH THE THEOLOGY, PHILOSOPHY, TEACHINGS AND DOCTRINES OF THE ROMAN CATHOLIC CHURCH, RESPECTING AND BUILDING UPON THE MISSION, PHILOSOPHY AND VALUES OF THE CARMELITE SISTERS FOR THE AGED &amp; INFIRM.</t>
  </si>
  <si>
    <t>TO PROVIDE SCIENTIFIC AND OPERATIONAL INFRASTRUCTURE FOR THE IMPLEMENTATION OF INNOVATIVE CLINICAL AND TRANSLATIONAL RESEARCH IN ACADEMIC AND COMMUNITY SETTINGS.</t>
  </si>
  <si>
    <t>HELPING CHILDREN AND FAMILIES IMPROVE THEIR MENTAL HEALTH AND WELLNESS.</t>
  </si>
  <si>
    <t>To create positive social change for millions of under-served people across the developing world by providing critically needed information and education through innovative media, appropriate technology and direct community engagement.</t>
  </si>
  <si>
    <t>STIMULATE MEANINGFUL IMPROVEMENT IN THE HEALTH OF THE PEOPLE OF CINCINNATI.</t>
  </si>
  <si>
    <t>TO TREAT AND CURE FRIEDREICH'S ATAXIA (FA) BY ADVANCING RESEARCH, AWARENESS AND PARTNERSHIPS.</t>
  </si>
  <si>
    <t>MEDICINES360 IS A NON-PROFIT PHARMACEUTICAL ORGANIZATION THAT ADDRESSES UNMET NEEDS OF WOMEN BY DEVELOPING INNOVATIVE, AFFORDABLE AND SUSTAINABLE MEDICINES AND DEVICES</t>
  </si>
  <si>
    <t>TO ADVANCE HEALTH AND WELLNESS OF THE PEOPLE AND ISLANDS OF HAWAI'I.</t>
  </si>
  <si>
    <t>PROMOTE SCHOLARSHIP, INNOVATION, AND LEADERSHIP FOR THORACIC AND CARDIOVASCULAR SURGERY.</t>
  </si>
  <si>
    <t>TO OFFER EXAMINATIONS AS A ROUTE TO CERTIFICATION TO FURTHER DEVELOP, EXPAND AND IMPROVE THE HEALTHCARE PROFESSION AS A WHOLE.</t>
  </si>
  <si>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</si>
  <si>
    <t>To provide exceptional services that inspire people who are visually impaired to attain their goals.</t>
  </si>
  <si>
    <t>Pursue scientific knowledge and high standards of excellence in the field of spinal disorders.</t>
  </si>
  <si>
    <t>TO ADVANCE AND DISSEMINATE THE KNOWLEDGE OF IMMUNOLOGY AND RELATED DISCIPLINES, TO FOSTER INTERCHANGE OF IDEAS AND INFORMATION AMONG INVESTIGATORS IN THE VARIOUS DISCIPLINES, AND PROMOTING AN UNDERSTANDING OF THE FIELD OF IMMUNOLOGY.</t>
  </si>
  <si>
    <t>HEALTH CARE &amp; WELLNESS CLINIC</t>
  </si>
  <si>
    <t>IMPLEMENT STANDARDS OF EXELLENCE TO ENSURE QUALITY OF PATIENT CARE THROUGH AN ACCREDITATION PROGRAM.</t>
  </si>
  <si>
    <t>TO PROVIDE SOCIAL SERVICES</t>
  </si>
  <si>
    <t>TO ASSIST THE MEMBERS OF THE COMMUNITY WITH PREEMPLOYMENT SKILLS, TRAINING, JOB SEARCH AND JOB PLACEMENT.</t>
  </si>
  <si>
    <t>TO SUPPORT FINANCIALLY THE SPIRITUAL, EDUCATIONAL AND SOCIAL NEEDS OF THE CATHOLIC COMMUNITY WHERE CATHOLIC UNITED FINANCIAL HAS A MAJOR PRESENCE.</t>
  </si>
  <si>
    <t>THE MISSION OF THE ROSKAMP INSTITUTE IS TO CONDUCT SCIENTIFIC RESEARCH TO DISCOVER SAFE AND EFFECTIVE NEW DRUG THERAPIES TO SUCCESSFULLY TREAT DISEASES OF THE MIND AND TO PROMOTE HEALTHY AGING.</t>
  </si>
  <si>
    <t>A NON-PROFIT DEDICATED TO THE SOCIAL PROBLEM OF HOMELESSNESS.</t>
  </si>
  <si>
    <t>THE PURPOSE OF THE FOUNDATION IS TO SUPPORT CHARITABLE ORGANIZATIONS WHICH BENEFIT THE COMMUNITY.</t>
  </si>
  <si>
    <t>TO ADVANCE HIP AND KNEE PATIENT CARE THROUGH EDUCATION, ADVOCACY, RESEARCH AND ADVOCACY.</t>
  </si>
  <si>
    <t>SEE PART III, LINE 1.</t>
  </si>
  <si>
    <t>To advance the needs of the paint and coatings industry and the professionals who work in it.</t>
  </si>
  <si>
    <t>THE ASSOCIATION IS DEDICATED TO ADVANCING MINIMALLY INVASIVE SURGICAL EDUCATION, ADVOCACY AND SKILLS ASSESSMENT TO IMPROVE PATIENT CARE.</t>
  </si>
  <si>
    <t>PROVIDES NEEDS-BASED SCHOLARSHIPS TO STUDENTS PURSUING HEALTHCARE (SEE SCHEDULE O)CAREERS AND CONTROLS HEALTHCARE FACILITIES.</t>
  </si>
  <si>
    <t>TO PROVIDE MEDICAL RESEARCH AND EDUCATION AND TO SERVE IN WAYS THAT IMPROVE ONES WELL-BEING.</t>
  </si>
  <si>
    <t>IMPROVING LIVES BY BRINGING HEALTH CARE HOME</t>
  </si>
  <si>
    <t>THE MISSION OF NF FORWARD IS TO ADVANCE RESEARCH TOWARD A CURE FOR NEUROFIBROMATOSIS ("NF") AND TO EXPAND AND IMPROVE TREATMENT OPTIONS FOR THOSE WITH NF AND RELATED DISORDERS.</t>
  </si>
  <si>
    <t>TO PROVIDE RETIREE HEALTH BENEFITS TO RETIRED EMPLOYEES OF THE WMATA AND THEIR DEPENDENTS.</t>
  </si>
  <si>
    <t>SUPPORT RESEARCH TO FIND TREATMENTS AND A CURE FOR POLG-RELATED MITOCHONDRIAL DISORDERS.</t>
  </si>
  <si>
    <t>TO IMPROVE THE HEALTH, INDEPENDENCE, AND QUALITY OF LIFE OF ALL OLDER PEOPLE.</t>
  </si>
  <si>
    <t>BROTHER BILL'S HELPING HAND MINISTERS TO THE DALLAS COMMUNITY BY ENSURING THE ESSENTIALS OF LIFE, EMPOWERING THROUGH LEARNING, AND ENRICHING RELATIONSHIPS THROUGH FAITH, FAMILY, FITNESS, AND FINANCE.</t>
  </si>
  <si>
    <t>TREATMENT OF LEARNING DISABILITIES IN CHILDREN</t>
  </si>
  <si>
    <t>To improve the quality and safety of medical care for newborn infants and their families.</t>
  </si>
  <si>
    <t>THE ORGANIZATION'S VISION STATEMENT: A WORLD IN WHICH CORD BLOOD THERAPIES ENHANCE QUALITY OF LIFE FOR ALL.THE ORGANIZATION'S CORE VALUES ARE QUALITY, COLLABORATION, INNOVATION, LEADERSHIP, COMPASSION, AND INTEGRITY.</t>
  </si>
  <si>
    <t>Health Technology / Infrastructure Organization</t>
  </si>
  <si>
    <t>THE FOUNDATION FOR EMBRYONIC COMPETENCE, INC., FORMERLY KNOWN AS " THE FOUNDATION FOR THE ASSESSMENT AND ENHANCEMENT OF EMBRYONIC COMPETENCE, INC." (FOUNDATION) IS A NEW JERSEY NON-PROFIT CORPORATION, INCORPORATED IN 2013. THE FOUNDATION'S ACTIVITIES ARE CONDUCTED AT ITS SOLE LOCATION, 140 ALLEN ROAD IN BASKING RIDGE, NEW JERSEY. THE MISSION OF THE FOUNDATION IS ADVANCING KNOWLEDGE AND ENHANCING OUTCOMES IN EMBRYONIC RESEARCH, DIAGNOSIS, AND EDUCATION.</t>
  </si>
  <si>
    <t>To companion the end of life journey and loss with skill and compassion.</t>
  </si>
  <si>
    <t>SEE ATTACHMENT 1</t>
  </si>
  <si>
    <t>TO HELP CHILDREN AND YOUNG PEOPLE REACH THEIR POTENTIAL AND LIVE HEALTHIER, HAPPIER LIVES.</t>
  </si>
  <si>
    <t>TO PROVIDE SPECIALIZED EDUCATION, INTERVENTION AND HYBERBARIC SERVICES. THROUGH THESE INNOVATIVE SERVICES WE HAVE BEEN ABLE TO HELP CHILDREN AND ADULTS WITH DISABILITIES AND CONDITIONS DEVELOP, GROW, AND ACHIEVE GREATER</t>
  </si>
  <si>
    <t>PROMOTE INNOVATION AND EXCELLENCE IN PROPERTY APPRAISAL, ASSESSMENT, (SEE SCHEDULE O) ADMINISTRATION, AND PROPERTY TAX POLICY THROUGH PROFESSIONAL DEVELOPMENT, EDUCATION, RESEARCH, AND TECHNICAL ASSISTANCE.</t>
  </si>
  <si>
    <t>Low</t>
  </si>
  <si>
    <t>Community Health Center / Clinic</t>
  </si>
  <si>
    <t>Direct DALY / Already Mapped</t>
  </si>
  <si>
    <t>Manual Review</t>
  </si>
  <si>
    <t>Health Infrastructure</t>
  </si>
  <si>
    <t>Hospital Ship / Mobile Care</t>
  </si>
  <si>
    <t>Field</t>
  </si>
  <si>
    <t>Purpose</t>
  </si>
  <si>
    <t>Guidance</t>
  </si>
  <si>
    <t>Broad activity type: what the organization primarily does.</t>
  </si>
  <si>
    <t>This is the main analytical field. Keep it broad and stable.</t>
  </si>
  <si>
    <t>Concrete type of organization within the Main Theme.</t>
  </si>
  <si>
    <t>Examples: Hospital / Medical Center, Physician Group, Research Institute. Mistakes here are less costly than mistakes in Main Theme.</t>
  </si>
  <si>
    <t>How the row should be handled in later DALY mapping.</t>
  </si>
  <si>
    <t>Used as workflow/status for future mapping, not as the main activity classification.</t>
  </si>
  <si>
    <t>Level of certainty.</t>
  </si>
  <si>
    <t>Use High for clear cases, Medium for reasonable cases, Low/Manual Review for uncertain cases.</t>
  </si>
  <si>
    <t>Free-text explanation or correction.</t>
  </si>
  <si>
    <t>Use when a choice is not obvious or when you disagree with the automated fill.</t>
  </si>
  <si>
    <t>Updated classification workflow</t>
  </si>
  <si>
    <t>1. Main Theme remains the central field for analysis.</t>
  </si>
  <si>
    <t>2. Organization Type was added to capture concrete types such as Hospital / Medical Center without overloading Main Theme.</t>
  </si>
  <si>
    <t>3. Focus your review first on Main Theme and DALY Mapping Status.</t>
  </si>
  <si>
    <t>4. Organization Type is useful for later sub-analysis, but errors there are less costly because the broad activity category remains correct.</t>
  </si>
  <si>
    <t>5. Non-health / Other should remain conservative: use it only when clearly non-health.</t>
  </si>
  <si>
    <t xml:space="preserve"> ONCOLOGY CLINICAL RESEARCH</t>
  </si>
  <si>
    <t xml:space="preserve"> ANGELMAN SYNDROME THERAPEUTICS (FAST)</t>
  </si>
  <si>
    <t>ALLOCATE ORGANS AND TISSUES</t>
  </si>
  <si>
    <t>ANESTHESIOLOGY</t>
  </si>
  <si>
    <t>CARDIOLOGY &amp; RELATED PROFESSIONAL MEDICAL SERVICES</t>
  </si>
  <si>
    <t>REPRESENT MEDICAL DIAGNOSTICS &amp; DEVICE MANUFACTURERS</t>
  </si>
  <si>
    <t>DERMATOLOGY</t>
  </si>
  <si>
    <t>FAMILY PHYSICIANS</t>
  </si>
  <si>
    <t>CARDIOTHORACIC SURGEONS</t>
  </si>
  <si>
    <t>CHILDREN'S CLINIC NETWORK</t>
  </si>
  <si>
    <t>Not Disease-focused</t>
  </si>
  <si>
    <t>NDIVIDUALS WITH LEARNING DISABILITIES, NEUROLOGICAL IMPAIRMENT AND OTHER DISABILITIES WITH SIMILAR NEEDS.</t>
  </si>
  <si>
    <t xml:space="preserve"> Perinatal Center</t>
  </si>
  <si>
    <t xml:space="preserve"> DEDICATED TO ARCHIVING AND DISTRIBUTING PLASMID</t>
  </si>
  <si>
    <t xml:space="preserve">ORTHOPAEDIC </t>
  </si>
  <si>
    <t>DEVELOPMENTALLY DISABLED AND/OR HANDICAPPED PERSONS</t>
  </si>
  <si>
    <t>Standards / Certification Organization</t>
  </si>
  <si>
    <t>FOCUS ON SENIORS</t>
  </si>
  <si>
    <t xml:space="preserve">DERMATOLOGY </t>
  </si>
  <si>
    <t xml:space="preserve"> DEVELOPMENTALLY DISABLED </t>
  </si>
  <si>
    <t>ORGANIZATION DEDICATED</t>
  </si>
  <si>
    <t xml:space="preserve"> ORTHOPAEDIC RESEARCH</t>
  </si>
  <si>
    <t>CLINICAL AND MINIMALLY-INVASIVE SURGICAL TREATMENT</t>
  </si>
  <si>
    <t>FOR THE AGED &amp; INFIRM.</t>
  </si>
  <si>
    <t>HELPING CHILDREN AND FAMILIES</t>
  </si>
  <si>
    <t>FRIEDREICH'S ATAXIA (FA)</t>
  </si>
  <si>
    <t>UNMET NEEDS OF WOMEN</t>
  </si>
  <si>
    <t>THORACIC AND CARDIOVASCULAR SURGERY.</t>
  </si>
  <si>
    <t xml:space="preserve"> people who are visually impaired </t>
  </si>
  <si>
    <t>field of spinal disorders</t>
  </si>
  <si>
    <t>IMMUNOLOGY AND RELATED DISCIPLINES</t>
  </si>
  <si>
    <t xml:space="preserve"> DISEASES OF THE MIND  ROMOTE HEALTHY AGING</t>
  </si>
  <si>
    <t xml:space="preserve"> HIP AND KNEE PATIENT</t>
  </si>
  <si>
    <t xml:space="preserve">MINIMALLY INVASIVE SURGICAL </t>
  </si>
  <si>
    <t>NEUROFIBROMATOSIS</t>
  </si>
  <si>
    <t>POLG-RELATED MITOCHONDRIAL DISORDERS</t>
  </si>
  <si>
    <t xml:space="preserve"> </t>
  </si>
  <si>
    <t xml:space="preserve"> LEARNING DISABILITIES </t>
  </si>
  <si>
    <t xml:space="preserve">  medical care for newborn infants  </t>
  </si>
  <si>
    <t>EMBRYONIC RESEARCH</t>
  </si>
  <si>
    <t>Amgen Safety Net Foundation</t>
  </si>
  <si>
    <t>UNIVERSITY MEDICAL CENTER MANAGEMENT</t>
  </si>
  <si>
    <t>WORLD FEDERATION OF HEMOPHILIA USA</t>
  </si>
  <si>
    <t>BECKMAN RESEARCH INSTITUTE OF THE CITY OF HOPE</t>
  </si>
  <si>
    <t>Lifespan Physician Group Inc</t>
  </si>
  <si>
    <t>College of American Pathologists</t>
  </si>
  <si>
    <t>Pediatric Faculty Foundation Inc</t>
  </si>
  <si>
    <t>THE J DAVID GLADSTONE INSTITUTES</t>
  </si>
  <si>
    <t>FUND FOR PUBLIC HEALTH IN NEW YORK INC</t>
  </si>
  <si>
    <t>THE FEINSTEIN INSTITUTES FOR</t>
  </si>
  <si>
    <t>VALLEY CHILDREN'S MEDICAL GROUP</t>
  </si>
  <si>
    <t>GREATER DELAWARE VALLEY SOCIETY OF</t>
  </si>
  <si>
    <t>CHMC Anesthesia Foundation Inc</t>
  </si>
  <si>
    <t>MICHIGAN HEALTH ENDOWMENT FUND</t>
  </si>
  <si>
    <t>Dana-FarberMass General Brigham Cancer Care INC</t>
  </si>
  <si>
    <t>International Center for Diarrhoeal Disease Resear</t>
  </si>
  <si>
    <t>ROBERT R MCCORMICK FOUNDATION</t>
  </si>
  <si>
    <t>Mercy Ships Foundation</t>
  </si>
  <si>
    <t>HENNEPIN HEALTHCARE RESEARCH INSTITUTE</t>
  </si>
  <si>
    <t>HIV-AIDS Alliance for Region Two Inc</t>
  </si>
  <si>
    <t>FOUNDATION FOR ANGELMAN SYNDROME</t>
  </si>
  <si>
    <t>AMERICAN SOCIETY OF ANESTHESIOLOGISTS</t>
  </si>
  <si>
    <t>HUMC CARDIOVASCULAR PARTNERS PC</t>
  </si>
  <si>
    <t>ADVANCED MEDICAL TECHNOLOGY ASSOCIATION</t>
  </si>
  <si>
    <t>THE TRANSLATIONAL GENOMICS RESEARCH INSTITUTE</t>
  </si>
  <si>
    <t>IMMACULATE HEART COMMUNITY</t>
  </si>
  <si>
    <t>AMERICAN BOARD OF PEDIATRICS INC</t>
  </si>
  <si>
    <t>WHITMAN-WALKER CLINIC INC</t>
  </si>
  <si>
    <t>EPIC LONG ISLAND INC</t>
  </si>
  <si>
    <t>AMERICAN ACADEMY OF DERMATOLOGY INC</t>
  </si>
  <si>
    <t>AMERICAN BOARD OF FAMILY MEDICINE INC</t>
  </si>
  <si>
    <t>INTERNATIONAL COPPER ASSOCIATION LTD</t>
  </si>
  <si>
    <t>THE SOCIETY OF THORACIC SURGEONS</t>
  </si>
  <si>
    <t>LIFELONG HEALTH FOR ALL</t>
  </si>
  <si>
    <t>LEARNING DISABILITIES ASSOCIATION OF</t>
  </si>
  <si>
    <t>CLEARWATER VALLEY HOSPITAL AND</t>
  </si>
  <si>
    <t>RURAL COMMUNITY ASSISTANCE</t>
  </si>
  <si>
    <t>Fort Sanders Perinatal Center</t>
  </si>
  <si>
    <t>ADDGENE INC</t>
  </si>
  <si>
    <t>AFFINITY HEALTH CENTER</t>
  </si>
  <si>
    <t>Rockhill Orthopaedic Specialists Inc</t>
  </si>
  <si>
    <t>FRAUNHOFER USA INC</t>
  </si>
  <si>
    <t>SIBLEY MEDICAL CENTER</t>
  </si>
  <si>
    <t>UNITED CEREBRAL PALSY ASSOCIATION</t>
  </si>
  <si>
    <t>UNAVCO INC</t>
  </si>
  <si>
    <t>The American Board of Radiology</t>
  </si>
  <si>
    <t>NATIONAL BLEEDING DISORDERS FOUNDATION</t>
  </si>
  <si>
    <t>SAINT MICHAEL'S CLINICS INC</t>
  </si>
  <si>
    <t>GARY AND MARY WEST HEALTH INSTITUTE</t>
  </si>
  <si>
    <t>ABLE2 ENHANCING POTENTIAL INC</t>
  </si>
  <si>
    <t>MASSACHUSETTS BIOTECHNOLOGY COUNCIL INC</t>
  </si>
  <si>
    <t>CHAN ZUCKERBERG BIOHUB INC</t>
  </si>
  <si>
    <t>UNITED CEREBRAL PALSY OF BROWARD</t>
  </si>
  <si>
    <t>AMERICAN ACADEMY OF DERMATOLOGY</t>
  </si>
  <si>
    <t>AMERICAN THROMBOSIS AND HEMOSTASIS</t>
  </si>
  <si>
    <t>STEADMAN PHILIPPON RESEARCH INSTITUTE</t>
  </si>
  <si>
    <t>THE JACOBS INSTITUTE INC</t>
  </si>
  <si>
    <t>FOGARTY INSTITUTE FOR INNOVATION</t>
  </si>
  <si>
    <t>SUPERIOR HEALTH QUALITY ALLIANCE INC</t>
  </si>
  <si>
    <t>HEALTH MANAGEMENT GROUP LTD</t>
  </si>
  <si>
    <t>CENTER FOR GLOBAL HEALTH INNOVATION</t>
  </si>
  <si>
    <t>FOCUSED ULTRASOUND FOUNDATION</t>
  </si>
  <si>
    <t>Global Alzheimer's Platform Foundation Inc</t>
  </si>
  <si>
    <t>THE CARMELITE SYSTEM INC</t>
  </si>
  <si>
    <t>ALLIANCE NCTN FOUNDATION</t>
  </si>
  <si>
    <t>CATALPA HEALTH INC</t>
  </si>
  <si>
    <t>Equal Access International</t>
  </si>
  <si>
    <t>THE HEALTH COLLABORATIVE</t>
  </si>
  <si>
    <t>FRIEDREICH'S ATAXIA RESEARCH ALLIANCE</t>
  </si>
  <si>
    <t>MEDICINES360</t>
  </si>
  <si>
    <t>HAWAII PUBLIC HEALTH INSTITUTE</t>
  </si>
  <si>
    <t>AMERICAN ASSOCIATION FOR THORACIC</t>
  </si>
  <si>
    <t>National Certification Corporation for</t>
  </si>
  <si>
    <t>METIS FOUNDATION</t>
  </si>
  <si>
    <t>The Jewish Guild for the Blind</t>
  </si>
  <si>
    <t>North American Spine Society</t>
  </si>
  <si>
    <t>THE AMERICAN ASSOCIATION OF</t>
  </si>
  <si>
    <t>HEALTH CARE ADVOCATES INTERNATIONAL LLC</t>
  </si>
  <si>
    <t>AMERICAN ASSOCIATION FOR ACCREDITATION</t>
  </si>
  <si>
    <t>LOWCOUNTRY AIDS SERVICES</t>
  </si>
  <si>
    <t>ANGELS IN PARADISE INC</t>
  </si>
  <si>
    <t>CATHOLIC UNITED FINANCIAL FOUNDATION</t>
  </si>
  <si>
    <t>THE ROSKAMP INSTITUTE INC</t>
  </si>
  <si>
    <t>HOMEBASE</t>
  </si>
  <si>
    <t>MARGARET AND ROBERT WALTER FOUNDATION</t>
  </si>
  <si>
    <t>AMERICAN ASSOCIATION OF HIP &amp; KNEE</t>
  </si>
  <si>
    <t>USAGAINSTALZHEIMER'S</t>
  </si>
  <si>
    <t>Boyer Children's Clinic</t>
  </si>
  <si>
    <t>American Coatings Association Inc</t>
  </si>
  <si>
    <t>ARTHROSCOPY ASSOCIATION OF NORTH AMERICA</t>
  </si>
  <si>
    <t>ST DAVID'S FOUNDATION COMMUNITY FUND</t>
  </si>
  <si>
    <t>RIORDAN CLINIC INC</t>
  </si>
  <si>
    <t>HOUSECALL PROVIDERS PC</t>
  </si>
  <si>
    <t>NF FORWARD</t>
  </si>
  <si>
    <t>TRANSIT EMPLOYEES RETIREE HEALTH FUND</t>
  </si>
  <si>
    <t>THE POLG FOUNDATION INC</t>
  </si>
  <si>
    <t>AID ATLANTA INC</t>
  </si>
  <si>
    <t>THE AMERICAN GERIATRICS SOCIETY</t>
  </si>
  <si>
    <t>BROTHER BILLS HELPING HAND</t>
  </si>
  <si>
    <t>CHILDREN'S DYSLEXIA CENTERS INC</t>
  </si>
  <si>
    <t>The Vermont-Oxford Network</t>
  </si>
  <si>
    <t>THE ABRAHAM J AND PHYLLIS KATZ CORD</t>
  </si>
  <si>
    <t>THE FOUNDATION FOR EMBRYONIC COMPETENCE</t>
  </si>
  <si>
    <t>Central Wyoming Hospice &amp; Transitions</t>
  </si>
  <si>
    <t>American Brain Tumor Association</t>
  </si>
  <si>
    <t>KEEP A CHILD ALIVE INC</t>
  </si>
  <si>
    <t>SARA'S GARDEN</t>
  </si>
  <si>
    <t>INTERNATIONAL ASSOCIATION OF ASSESSING</t>
  </si>
  <si>
    <t>INTERNATIONAL ASSOCIATION FOR THE</t>
  </si>
  <si>
    <t>extract_name</t>
  </si>
  <si>
    <t>Grand Total</t>
  </si>
  <si>
    <t>Main Theme/ Org. Type</t>
  </si>
  <si>
    <t>MRevenue</t>
  </si>
  <si>
    <t xml:space="preserve"> Revenue</t>
  </si>
  <si>
    <t>Perc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</si>
</sst>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000_ ;_ * \-#,##0.000_ ;_ * &quot;-&quot;??_ ;_ @_ "/>
    <numFmt numFmtId="165" formatCode="0.0%"/>
  </numFmts>
  <fonts count="7">
    <font>
      <sz val="11"/>
      <name val="Carlito"/>
    </font>
    <font>
      <b/>
      <sz val="11"/>
      <color rgb="FFFFFFFF"/>
      <name val="Carlito"/>
    </font>
    <font>
      <b/>
      <sz val="14"/>
      <color rgb="FFFFFFFF"/>
      <name val="Carlito"/>
    </font>
    <font>
      <sz val="11"/>
      <color rgb="FF006100"/>
      <name val="Calibri"/>
      <family val="2"/>
      <charset val="177"/>
      <scheme val="minor"/>
    </font>
    <font>
      <sz val="11"/>
      <name val="Carlito"/>
      <charset val="177"/>
    </font>
    <font>
      <sz val="11"/>
      <name val="Carlito"/>
    </font>
    <font>
      <sz val="12"/>
      <name val="Arial"/>
      <family val="2"/>
    </font>
  </fonts>
  <fills count="6">
    <fill>
      <patternFill patternType="none"/>
    </fill>
    <fill>
      <patternFill patternType="gray125"/>
    </fill>
    <fill>
      <patternFill patternType="solid">
        <fgColor rgb="FF1F4E79"/>
      </patternFill>
    </fill>
    <fill>
      <patternFill patternType="solid">
        <fgColor rgb="FF0F766E"/>
      </patternFill>
    </fill>
    <fill>
      <patternFill patternType="solid">
        <fgColor rgb="FFC6EFCE"/>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4" borderId="0" applyNumberFormat="0" applyBorder="0" applyAlignment="0" applyProtection="0"/>
    <xf numFmtId="43" fontId="5" fillId="0" borderId="0" applyFont="0" applyFill="0" applyBorder="0" applyAlignment="0" applyProtection="0"/>
    <xf numFmtId="9" fontId="5" fillId="0" borderId="0" applyFont="0" applyFill="0" applyBorder="0" applyAlignment="0" applyProtection="0"/>
  </cellStyleXfs>
  <cellXfs count="29">
    <xf numFmtId="0" fontId="0" fillId="0" borderId="0" xfId="0"/>
    <xf numFmtId="0" fontId="1" fillId="2" borderId="0" xfId="0" applyFont="1" applyFill="1" applyAlignment="1">
      <alignment horizontal="center" vertical="center" wrapText="1"/>
    </xf>
    <xf numFmtId="0" fontId="0" fillId="0" borderId="0" xfId="0" applyAlignment="1">
      <alignment wrapText="1"/>
    </xf>
    <xf numFmtId="3" fontId="0" fillId="0" borderId="0" xfId="0" applyNumberFormat="1" applyAlignment="1">
      <alignment wrapText="1"/>
    </xf>
    <xf numFmtId="0" fontId="1" fillId="3" borderId="0" xfId="0" applyFont="1" applyFill="1" applyAlignment="1">
      <alignment horizontal="center" wrapText="1"/>
    </xf>
    <xf numFmtId="0" fontId="2" fillId="2" borderId="0" xfId="0" applyFont="1" applyFill="1" applyAlignment="1">
      <alignment wrapText="1"/>
    </xf>
    <xf numFmtId="0" fontId="4" fillId="0" borderId="0" xfId="0" applyFont="1" applyAlignment="1">
      <alignment wrapText="1"/>
    </xf>
    <xf numFmtId="3" fontId="3" fillId="0" borderId="0" xfId="1" applyNumberFormat="1" applyFill="1" applyAlignment="1">
      <alignment wrapText="1"/>
    </xf>
    <xf numFmtId="0" fontId="3" fillId="0" borderId="0" xfId="1" applyFill="1" applyAlignment="1">
      <alignment wrapText="1"/>
    </xf>
    <xf numFmtId="0" fontId="3" fillId="0" borderId="0" xfId="1" applyFill="1"/>
    <xf numFmtId="0" fontId="0" fillId="0" borderId="0" xfId="0" pivotButton="1"/>
    <xf numFmtId="0" fontId="0" fillId="0" borderId="0" xfId="0" applyAlignment="1">
      <alignment horizontal="right"/>
    </xf>
    <xf numFmtId="0" fontId="0" fillId="0" borderId="0" xfId="0" applyAlignment="1">
      <alignment horizontal="right" indent="1"/>
    </xf>
    <xf numFmtId="164" fontId="0" fillId="0" borderId="0" xfId="2" applyNumberFormat="1" applyFont="1"/>
    <xf numFmtId="43" fontId="0" fillId="0" borderId="0" xfId="2" applyFont="1"/>
    <xf numFmtId="43" fontId="1" fillId="2" borderId="0" xfId="2" applyFont="1" applyFill="1" applyAlignment="1">
      <alignment horizontal="center" vertical="center" wrapText="1"/>
    </xf>
    <xf numFmtId="43" fontId="0" fillId="0" borderId="0" xfId="2" applyFont="1" applyAlignment="1">
      <alignment wrapText="1"/>
    </xf>
    <xf numFmtId="43" fontId="3" fillId="0" borderId="0" xfId="2" applyFont="1" applyFill="1" applyAlignment="1">
      <alignment wrapText="1"/>
    </xf>
    <xf numFmtId="164" fontId="0" fillId="0" borderId="0" xfId="0" applyNumberFormat="1" applyAlignment="1">
      <alignment horizontal="center"/>
    </xf>
    <xf numFmtId="164" fontId="0" fillId="0" borderId="0" xfId="0" applyNumberFormat="1"/>
    <xf numFmtId="164" fontId="0" fillId="0" borderId="1" xfId="0" applyNumberFormat="1" applyBorder="1" applyAlignment="1">
      <alignment horizontal="center"/>
    </xf>
    <xf numFmtId="0" fontId="0" fillId="0" borderId="1" xfId="0" applyBorder="1" applyAlignment="1">
      <alignment horizontal="right"/>
    </xf>
    <xf numFmtId="0" fontId="0" fillId="5" borderId="1" xfId="0" applyFill="1" applyBorder="1" applyAlignment="1">
      <alignment horizontal="center"/>
    </xf>
    <xf numFmtId="164" fontId="0" fillId="5" borderId="1" xfId="0" applyNumberFormat="1" applyFill="1" applyBorder="1" applyAlignment="1">
      <alignment horizontal="center"/>
    </xf>
    <xf numFmtId="164" fontId="0" fillId="5" borderId="0" xfId="0" applyNumberFormat="1" applyFill="1" applyAlignment="1">
      <alignment horizontal="center"/>
    </xf>
    <xf numFmtId="9" fontId="0" fillId="0" borderId="0" xfId="3" applyFont="1" applyBorder="1" applyAlignment="1">
      <alignment horizontal="center"/>
    </xf>
    <xf numFmtId="165" fontId="0" fillId="0" borderId="1" xfId="3" applyNumberFormat="1" applyFont="1" applyBorder="1" applyAlignment="1">
      <alignment horizontal="center"/>
    </xf>
    <xf numFmtId="9" fontId="0" fillId="0" borderId="1" xfId="3" applyFont="1" applyBorder="1" applyAlignment="1">
      <alignment horizontal="center"/>
    </xf>
    <xf numFmtId="0" fontId="6" fillId="0" borderId="0" xfId="0" applyFont="1"/>
  </cellXfs>
  <cellStyles count="4">
    <cellStyle name="Comma" xfId="2" builtinId="3"/>
    <cellStyle name="Good" xfId="1" builtinId="26"/>
    <cellStyle name="Normal" xfId="0" builtinId="0"/>
    <cellStyle name="Percent" xfId="3" builtinId="5"/>
  </cellStyles>
  <dxfs count="14">
    <dxf>
      <alignment horizontal="center"/>
    </dxf>
    <dxf>
      <numFmt numFmtId="164" formatCode="_ * #,##0.000_ ;_ * \-#,##0.000_ ;_ * &quot;-&quot;??_ ;_ @_ "/>
    </dxf>
    <dxf>
      <numFmt numFmtId="164" formatCode="_ * #,##0.000_ ;_ * \-#,##0.000_ ;_ * &quot;-&quot;??_ ;_ @_ "/>
    </dxf>
    <dxf>
      <alignment horizontal="center"/>
    </dxf>
    <dxf>
      <numFmt numFmtId="164" formatCode="_ * #,##0.000_ ;_ * \-#,##0.000_ ;_ * &quot;-&quot;??_ ;_ @_ "/>
    </dxf>
    <dxf>
      <numFmt numFmtId="164" formatCode="_ * #,##0.000_ ;_ * \-#,##0.000_ ;_ * &quot;-&quot;??_ ;_ @_ "/>
    </dxf>
    <dxf>
      <numFmt numFmtId="164" formatCode="_ * #,##0.000_ ;_ * \-#,##0.000_ ;_ * &quot;-&quot;??_ ;_ @_ "/>
    </dxf>
    <dxf>
      <numFmt numFmtId="164" formatCode="_ * #,##0.000_ ;_ * \-#,##0.000_ ;_ * &quot;-&quot;??_ ;_ @_ "/>
    </dxf>
    <dxf>
      <alignment horizontal="center"/>
    </dxf>
    <dxf>
      <numFmt numFmtId="0" formatCode="General"/>
      <alignment horizontal="general" vertical="bottom" textRotation="0" wrapText="1" indent="0" justifyLastLine="0" shrinkToFit="0" readingOrder="0"/>
    </dxf>
    <dxf>
      <numFmt numFmtId="35" formatCode="_ * #,##0.00_ ;_ * \-#,##0.00_ ;_ * &quot;-&quot;??_ ;_ @_ "/>
      <alignment horizontal="general" vertical="bottom" textRotation="0" wrapText="1" indent="0" justifyLastLine="0" shrinkToFit="0" readingOrder="0"/>
    </dxf>
    <dxf>
      <numFmt numFmtId="164" formatCode="_ * #,##0.000_ ;_ * \-#,##0.000_ ;_ * &quot;-&quot;??_ ;_ @_ "/>
    </dxf>
    <dxf>
      <numFmt numFmtId="164" formatCode="_ * #,##0.000_ ;_ * \-#,##0.000_ ;_ * &quot;-&quot;??_ ;_ @_ "/>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[Book3_classified_with_organization_type(AutoRecovered).xlsx]Graf!PivotTable1</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he-IL"/>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e-IL"/>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Graf!$C$3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e-I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Graf!$B$4:$B$49</c:f>
              <c:multiLvlStrCache>
                <c:ptCount val="36"/>
                <c:lvl>
                  <c:pt idx="0">
                    <c:v>Education / Training Organization</c:v>
                  </c:pt>
                  <c:pt idx="1">
                    <c:v>Health Quality / Accreditation Organization</c:v>
                  </c:pt>
                  <c:pt idx="2">
                    <c:v>Hospital / Medical Center</c:v>
                  </c:pt>
                  <c:pt idx="3">
                    <c:v>Patient Advocacy Organization</c:v>
                  </c:pt>
                  <c:pt idx="4">
                    <c:v>Professional Society / Association</c:v>
                  </c:pt>
                  <c:pt idx="5">
                    <c:v>Standards / Certification Organization</c:v>
                  </c:pt>
                  <c:pt idx="6">
                    <c:v>Grantmaking Foundation / Endowment</c:v>
                  </c:pt>
                  <c:pt idx="7">
                    <c:v>Professional Society / Association</c:v>
                  </c:pt>
                  <c:pt idx="8">
                    <c:v>Grantmaking Foundation / Endowment</c:v>
                  </c:pt>
                  <c:pt idx="9">
                    <c:v>Health Technology / Infrastructure Organization</c:v>
                  </c:pt>
                  <c:pt idx="10">
                    <c:v>Organ Procurement / Transplant Organization</c:v>
                  </c:pt>
                  <c:pt idx="11">
                    <c:v>Patient Assistance Foundation</c:v>
                  </c:pt>
                  <c:pt idx="12">
                    <c:v>Research Organization</c:v>
                  </c:pt>
                  <c:pt idx="13">
                    <c:v>Academic Medical Center</c:v>
                  </c:pt>
                  <c:pt idx="14">
                    <c:v>Clinical Services Organization</c:v>
                  </c:pt>
                  <c:pt idx="15">
                    <c:v>Community Health Center / Clinic</c:v>
                  </c:pt>
                  <c:pt idx="16">
                    <c:v>Health Quality / Accreditation Organization</c:v>
                  </c:pt>
                  <c:pt idx="17">
                    <c:v>Hospital / Medical Center</c:v>
                  </c:pt>
                  <c:pt idx="18">
                    <c:v>Hospital Ship / Mobile Care</c:v>
                  </c:pt>
                  <c:pt idx="19">
                    <c:v>Needs Review</c:v>
                  </c:pt>
                  <c:pt idx="20">
                    <c:v>Patient Support Organization</c:v>
                  </c:pt>
                  <c:pt idx="21">
                    <c:v>Physician Group / Clinical Practice</c:v>
                  </c:pt>
                  <c:pt idx="22">
                    <c:v>Research Organization</c:v>
                  </c:pt>
                  <c:pt idx="23">
                    <c:v>Academic Medical Center</c:v>
                  </c:pt>
                  <c:pt idx="24">
                    <c:v>Education / Training Organization</c:v>
                  </c:pt>
                  <c:pt idx="25">
                    <c:v>Health Technology / Infrastructure Organization</c:v>
                  </c:pt>
                  <c:pt idx="26">
                    <c:v>Patient Advocacy Organization</c:v>
                  </c:pt>
                  <c:pt idx="27">
                    <c:v>Research Institute / Center</c:v>
                  </c:pt>
                  <c:pt idx="28">
                    <c:v>Research Organization</c:v>
                  </c:pt>
                  <c:pt idx="29">
                    <c:v>Needs Review</c:v>
                  </c:pt>
                  <c:pt idx="30">
                    <c:v>Non-health Organization</c:v>
                  </c:pt>
                  <c:pt idx="31">
                    <c:v>Education / Training Organization</c:v>
                  </c:pt>
                  <c:pt idx="32">
                    <c:v>Hospital / Medical Center</c:v>
                  </c:pt>
                  <c:pt idx="33">
                    <c:v>Patient Advocacy Organization</c:v>
                  </c:pt>
                  <c:pt idx="34">
                    <c:v>Patient Support Organization</c:v>
                  </c:pt>
                  <c:pt idx="35">
                    <c:v>Public Health Organization</c:v>
                  </c:pt>
                </c:lvl>
                <c:lvl>
                  <c:pt idx="0">
                    <c:v>Education &amp; Professional Development</c:v>
                  </c:pt>
                  <c:pt idx="6">
                    <c:v>Health Funding &amp; Grantmaking</c:v>
                  </c:pt>
                  <c:pt idx="8">
                    <c:v>Health Infrastructure</c:v>
                  </c:pt>
                  <c:pt idx="13">
                    <c:v>Healthcare Services</c:v>
                  </c:pt>
                  <c:pt idx="23">
                    <c:v>Medical Research</c:v>
                  </c:pt>
                  <c:pt idx="29">
                    <c:v>Needs Review</c:v>
                  </c:pt>
                  <c:pt idx="30">
                    <c:v>Non-health / Other</c:v>
                  </c:pt>
                  <c:pt idx="31">
                    <c:v>Patient Support</c:v>
                  </c:pt>
                  <c:pt idx="35">
                    <c:v>Public Health</c:v>
                  </c:pt>
                </c:lvl>
              </c:multiLvlStrCache>
            </c:multiLvlStrRef>
          </c:cat>
          <c:val>
            <c:numRef>
              <c:f>Graf!$C$4:$C$49</c:f>
              <c:numCache>
                <c:formatCode>_ * #,##0.000_ ;_ * \-#,##0.000_ ;_ * "-"??_ ;_ @_ </c:formatCode>
                <c:ptCount val="36"/>
                <c:pt idx="0">
                  <c:v>8.1931740000000017E-2</c:v>
                </c:pt>
                <c:pt idx="1">
                  <c:v>3.5579201999999997E-2</c:v>
                </c:pt>
                <c:pt idx="2">
                  <c:v>9.7184276E-2</c:v>
                </c:pt>
                <c:pt idx="3">
                  <c:v>1.8098164E-2</c:v>
                </c:pt>
                <c:pt idx="4">
                  <c:v>0.31946678500000003</c:v>
                </c:pt>
                <c:pt idx="5">
                  <c:v>3.8372461999999996E-2</c:v>
                </c:pt>
                <c:pt idx="6">
                  <c:v>0.19613766299999999</c:v>
                </c:pt>
                <c:pt idx="7">
                  <c:v>1.1598944999999999E-2</c:v>
                </c:pt>
                <c:pt idx="8">
                  <c:v>4.7870560999999999E-2</c:v>
                </c:pt>
                <c:pt idx="9">
                  <c:v>4.5645767999999996E-2</c:v>
                </c:pt>
                <c:pt idx="10">
                  <c:v>0.12554396100000001</c:v>
                </c:pt>
                <c:pt idx="11">
                  <c:v>2.6864394730000001</c:v>
                </c:pt>
                <c:pt idx="12">
                  <c:v>2.4108935000000001E-2</c:v>
                </c:pt>
                <c:pt idx="13">
                  <c:v>0.93316642999999999</c:v>
                </c:pt>
                <c:pt idx="14">
                  <c:v>0.16127202100000002</c:v>
                </c:pt>
                <c:pt idx="15">
                  <c:v>0.109577785</c:v>
                </c:pt>
                <c:pt idx="16">
                  <c:v>1.2475884E-2</c:v>
                </c:pt>
                <c:pt idx="17">
                  <c:v>2.8732804000000001E-2</c:v>
                </c:pt>
                <c:pt idx="18">
                  <c:v>5.8837464999999999E-2</c:v>
                </c:pt>
                <c:pt idx="19">
                  <c:v>5.3956249999999997E-2</c:v>
                </c:pt>
                <c:pt idx="20">
                  <c:v>2.8408497000000001E-2</c:v>
                </c:pt>
                <c:pt idx="21">
                  <c:v>0.30489431099999997</c:v>
                </c:pt>
                <c:pt idx="22">
                  <c:v>1.7478240999999999E-2</c:v>
                </c:pt>
                <c:pt idx="23">
                  <c:v>5.5810421999999998E-2</c:v>
                </c:pt>
                <c:pt idx="24">
                  <c:v>5.0802964999999999E-2</c:v>
                </c:pt>
                <c:pt idx="25">
                  <c:v>1.1042911000000001E-2</c:v>
                </c:pt>
                <c:pt idx="26">
                  <c:v>7.0627987000000003E-2</c:v>
                </c:pt>
                <c:pt idx="27">
                  <c:v>0.136817092</c:v>
                </c:pt>
                <c:pt idx="28">
                  <c:v>0.526323282</c:v>
                </c:pt>
                <c:pt idx="29">
                  <c:v>0.25796308499999998</c:v>
                </c:pt>
                <c:pt idx="30">
                  <c:v>0.32801982200000002</c:v>
                </c:pt>
                <c:pt idx="31">
                  <c:v>1.3468545E-2</c:v>
                </c:pt>
                <c:pt idx="32">
                  <c:v>0.21438509</c:v>
                </c:pt>
                <c:pt idx="33">
                  <c:v>3.7488580999999993E-2</c:v>
                </c:pt>
                <c:pt idx="34">
                  <c:v>0.80016886999999992</c:v>
                </c:pt>
                <c:pt idx="35">
                  <c:v>0.16976462000000003</c:v>
                </c:pt>
              </c:numCache>
            </c:numRef>
          </c:val>
          <c:smooth val="0"/>
          <c:extLst>
            <c:ext xmlns:c16="http://schemas.microsoft.com/office/drawing/2014/chart" uri="{C3380CC4-5D6E-409C-BE32-E72D297353CC}">
              <c16:uniqueId val="{00000000-A2A5-442D-B106-818DB541A2F6}"/>
            </c:ext>
          </c:extLst>
        </c:ser>
        <c:dLbls>
          <c:dLblPos val="ctr"/>
          <c:showLegendKey val="0"/>
          <c:showVal val="1"/>
          <c:showCatName val="0"/>
          <c:showSerName val="0"/>
          <c:showPercent val="0"/>
          <c:showBubbleSize val="0"/>
        </c:dLbls>
        <c:marker val="1"/>
        <c:smooth val="0"/>
        <c:axId val="588344736"/>
        <c:axId val="562202864"/>
      </c:lineChart>
      <c:catAx>
        <c:axId val="588344736"/>
        <c:scaling>
          <c:orientation val="maxMin"/>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he-IL"/>
          </a:p>
        </c:txPr>
        <c:crossAx val="562202864"/>
        <c:crosses val="autoZero"/>
        <c:auto val="1"/>
        <c:lblAlgn val="ctr"/>
        <c:lblOffset val="100"/>
        <c:noMultiLvlLbl val="0"/>
      </c:catAx>
      <c:valAx>
        <c:axId val="562202864"/>
        <c:scaling>
          <c:orientation val="minMax"/>
        </c:scaling>
        <c:delete val="1"/>
        <c:axPos val="r"/>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000_ ;_ * \-#,##0.000_ ;_ * &quot;-&quot;??_ ;_ @_ " sourceLinked="1"/>
        <c:majorTickMark val="none"/>
        <c:minorTickMark val="none"/>
        <c:tickLblPos val="nextTo"/>
        <c:crossAx val="588344736"/>
        <c:crosses val="autoZero"/>
        <c:crossBetween val="between"/>
      </c:valAx>
      <c:spPr>
        <a:noFill/>
        <a:ln>
          <a:solidFill>
            <a:schemeClr val="tx1">
              <a:lumMod val="95000"/>
              <a:lumOff val="5000"/>
            </a:schemeClr>
          </a:solidFill>
        </a:ln>
        <a:effectLst>
          <a:glow rad="127000">
            <a:schemeClr val="tx1"/>
          </a:glow>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he-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[Book3_classified_with_organization_type(AutoRecovered).xlsx]Graf (2)!PivotTable1</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he-IL"/>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e-I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e-IL"/>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'Graf (2)'!$B$3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e-I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 (2)'!$A$4:$A$8</c:f>
              <c:strCache>
                <c:ptCount val="4"/>
                <c:pt idx="0">
                  <c:v>Education &amp; Professional Development</c:v>
                </c:pt>
                <c:pt idx="1">
                  <c:v>Health Funding &amp; Grantmaking</c:v>
                </c:pt>
                <c:pt idx="2">
                  <c:v>Health Infrastructure</c:v>
                </c:pt>
                <c:pt idx="3">
                  <c:v>Non-health / Other</c:v>
                </c:pt>
              </c:strCache>
            </c:strRef>
          </c:cat>
          <c:val>
            <c:numRef>
              <c:f>'Graf (2)'!$B$4:$B$8</c:f>
              <c:numCache>
                <c:formatCode>_ * #,##0.000_ ;_ * \-#,##0.000_ ;_ * "-"??_ ;_ @_ </c:formatCode>
                <c:ptCount val="4"/>
                <c:pt idx="0">
                  <c:v>0.59063262900000013</c:v>
                </c:pt>
                <c:pt idx="1">
                  <c:v>0.20773660800000002</c:v>
                </c:pt>
                <c:pt idx="2">
                  <c:v>2.929608698</c:v>
                </c:pt>
                <c:pt idx="3">
                  <c:v>0.32801982199999996</c:v>
                </c:pt>
              </c:numCache>
            </c:numRef>
          </c:val>
          <c:smooth val="0"/>
          <c:extLst>
            <c:ext xmlns:c16="http://schemas.microsoft.com/office/drawing/2014/chart" uri="{C3380CC4-5D6E-409C-BE32-E72D297353CC}">
              <c16:uniqueId val="{00000000-E675-42E9-BCD3-A553ECE046E4}"/>
            </c:ext>
          </c:extLst>
        </c:ser>
        <c:dLbls>
          <c:dLblPos val="ctr"/>
          <c:showLegendKey val="0"/>
          <c:showVal val="1"/>
          <c:showCatName val="0"/>
          <c:showSerName val="0"/>
          <c:showPercent val="0"/>
          <c:showBubbleSize val="0"/>
        </c:dLbls>
        <c:marker val="1"/>
        <c:smooth val="0"/>
        <c:axId val="588344736"/>
        <c:axId val="562202864"/>
      </c:lineChart>
      <c:catAx>
        <c:axId val="588344736"/>
        <c:scaling>
          <c:orientation val="maxMin"/>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he-IL"/>
          </a:p>
        </c:txPr>
        <c:crossAx val="562202864"/>
        <c:crosses val="autoZero"/>
        <c:auto val="1"/>
        <c:lblAlgn val="ctr"/>
        <c:lblOffset val="100"/>
        <c:noMultiLvlLbl val="0"/>
      </c:catAx>
      <c:valAx>
        <c:axId val="562202864"/>
        <c:scaling>
          <c:orientation val="minMax"/>
        </c:scaling>
        <c:delete val="1"/>
        <c:axPos val="r"/>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000_ ;_ * \-#,##0.000_ ;_ * &quot;-&quot;??_ ;_ @_ " sourceLinked="1"/>
        <c:majorTickMark val="none"/>
        <c:minorTickMark val="none"/>
        <c:tickLblPos val="nextTo"/>
        <c:crossAx val="588344736"/>
        <c:crosses val="autoZero"/>
        <c:crossBetween val="between"/>
      </c:valAx>
      <c:spPr>
        <a:noFill/>
        <a:ln>
          <a:solidFill>
            <a:schemeClr val="tx1">
              <a:lumMod val="95000"/>
              <a:lumOff val="5000"/>
            </a:schemeClr>
          </a:solidFill>
        </a:ln>
        <a:effectLst>
          <a:glow rad="127000">
            <a:schemeClr val="tx1"/>
          </a:glow>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he-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333375</xdr:colOff>
      <xdr:row>0</xdr:row>
      <xdr:rowOff>112710</xdr:rowOff>
    </xdr:from>
    <xdr:to>
      <xdr:col>28</xdr:col>
      <xdr:colOff>603250</xdr:colOff>
      <xdr:row>51</xdr:row>
      <xdr:rowOff>63499</xdr:rowOff>
    </xdr:to>
    <xdr:graphicFrame macro="">
      <xdr:nvGraphicFramePr>
        <xdr:cNvPr id="4" name="Chart 3">
          <a:extLst>
            <a:ext uri="{FF2B5EF4-FFF2-40B4-BE49-F238E27FC236}">
              <a16:creationId xmlns:a16="http://schemas.microsoft.com/office/drawing/2014/main" id="{47B47427-A030-2CCC-3B8A-3F94B9FFC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333375</xdr:colOff>
      <xdr:row>0</xdr:row>
      <xdr:rowOff>112710</xdr:rowOff>
    </xdr:from>
    <xdr:to>
      <xdr:col>29</xdr:col>
      <xdr:colOff>603250</xdr:colOff>
      <xdr:row>51</xdr:row>
      <xdr:rowOff>63499</xdr:rowOff>
    </xdr:to>
    <xdr:graphicFrame macro="">
      <xdr:nvGraphicFramePr>
        <xdr:cNvPr id="2" name="Chart 1">
          <a:extLst>
            <a:ext uri="{FF2B5EF4-FFF2-40B4-BE49-F238E27FC236}">
              <a16:creationId xmlns:a16="http://schemas.microsoft.com/office/drawing/2014/main" id="{7E1849CE-3673-4AE4-A9C3-F89929AD3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1.780843865738" createdVersion="8" refreshedVersion="8" minRefreshableVersion="3" recordCount="110" xr:uid="{AB0D5E1F-CE01-4851-B401-0411B9744D44}">
  <cacheSource type="worksheet">
    <worksheetSource name="ClassificationTable"/>
  </cacheSource>
  <cacheFields count="12">
    <cacheField name="MRevenue" numFmtId="3">
      <sharedItems containsSemiMixedTypes="0" containsString="0" containsNumber="1" containsInteger="1" minValue="6860753" maxValue="2686439473"/>
    </cacheField>
    <cacheField name="Revenue" numFmtId="43">
      <sharedItems containsSemiMixedTypes="0" containsString="0" containsNumber="1" minValue="6.8607529999999998E-3" maxValue="2.6864394730000001"/>
    </cacheField>
    <cacheField name="extract_ein" numFmtId="0">
      <sharedItems containsSemiMixedTypes="0" containsString="0" containsNumber="1" containsInteger="1" minValue="30344168" maxValue="980041019"/>
    </cacheField>
    <cacheField name="extract_name" numFmtId="0">
      <sharedItems/>
    </cacheField>
    <cacheField name="Org_mission" numFmtId="0">
      <sharedItems longText="1"/>
    </cacheField>
    <cacheField name="Main Theme" numFmtId="0">
      <sharedItems count="9">
        <s v="Health Infrastructure"/>
        <s v="Healthcare Services"/>
        <s v="Patient Support"/>
        <s v="Medical Research"/>
        <s v="Education &amp; Professional Development"/>
        <s v="Public Health"/>
        <s v="Health Funding &amp; Grantmaking"/>
        <s v="Non-health / Other"/>
        <s v="Needs Review"/>
      </sharedItems>
    </cacheField>
    <cacheField name="Organization Type" numFmtId="0">
      <sharedItems count="21">
        <s v="Patient Assistance Foundation"/>
        <s v="Academic Medical Center"/>
        <s v="Patient Support Organization"/>
        <s v="Research Organization"/>
        <s v="Physician Group / Clinical Practice"/>
        <s v="Professional Society / Association"/>
        <s v="Hospital / Medical Center"/>
        <s v="Public Health Organization"/>
        <s v="Research Institute / Center"/>
        <s v="Clinical Services Organization"/>
        <s v="Organ Procurement / Transplant Organization"/>
        <s v="Grantmaking Foundation / Endowment"/>
        <s v="Non-health Organization"/>
        <s v="Hospital Ship / Mobile Care"/>
        <s v="Needs Review"/>
        <s v="Patient Advocacy Organization"/>
        <s v="Education / Training Organization"/>
        <s v="Community Health Center / Clinic"/>
        <s v="Health Quality / Accreditation Organization"/>
        <s v="Standards / Certification Organization"/>
        <s v="Health Technology / Infrastructure Organization"/>
      </sharedItems>
    </cacheField>
    <cacheField name="DALY Mapping Status" numFmtId="0">
      <sharedItems containsBlank="1"/>
    </cacheField>
    <cacheField name="Confidence" numFmtId="0">
      <sharedItems containsBlank="1"/>
    </cacheField>
    <cacheField name="Notes" numFmtId="0">
      <sharedItems containsBlank="1"/>
    </cacheField>
    <cacheField name="Reviewer" numFmtId="0">
      <sharedItems containsNonDate="0" containsString="0" containsBlank="1"/>
    </cacheField>
    <cacheField name="Review D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n v="2686439473"/>
    <n v="2.6864394730000001"/>
    <n v="223850021"/>
    <s v="Amgen Safety Net Foundation"/>
    <s v="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S. and its territories. ASNF provides access to every patient who qualifies."/>
    <x v="0"/>
    <x v="0"/>
    <s v="Activity-based / Indirect"/>
    <s v="High"/>
    <m/>
    <m/>
    <m/>
  </r>
  <r>
    <n v="811129070"/>
    <n v="0.81112907000000001"/>
    <n v="251925187"/>
    <s v="UNIVERSITY MEDICAL CENTER MANAGEMENT"/>
    <s v="UNIVERSITY MEDICAL CENTER NEW ORLEANS WILL BE A LEADING WORLD-CLASS ACADEMIC (CONT'D ON SCH. O) MEDICAL CENTER AND THE DESTINATION OF CHOICE FOR EXCEPTIONAL HEALTHCARE. UNIVERSITY MEDICAL CENTER WILL PROVIDE EXCEPTIONAL PATIENT-CENTERED CARE AND A WORLD-CLASS ACADEMIC EXPERIENCE THROUGH ADVANCED RESEARCH, LEADING TECHNOLOGY AND INNOVATION."/>
    <x v="1"/>
    <x v="1"/>
    <s v="Activity-based / Indirect"/>
    <s v="High"/>
    <m/>
    <m/>
    <m/>
  </r>
  <r>
    <n v="684615118"/>
    <n v="0.68461511799999997"/>
    <n v="161513923"/>
    <s v="WORLD FEDERATION OF HEMOPHILIA USA"/>
    <s v="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
    <x v="2"/>
    <x v="2"/>
    <s v="Disease-specific (Dictionary Needed)"/>
    <s v="Medium"/>
    <m/>
    <m/>
    <m/>
  </r>
  <r>
    <n v="288276013"/>
    <n v="0.288276013"/>
    <n v="953432210"/>
    <s v="BECKMAN RESEARCH INSTITUTE OF THE CITY OF HOPE"/>
    <s v="TO DISCOVER AND TRANSLATE INNOVATIVE LABORATORY FINDINGS INTO NEW CLINICAL TREATMENTS BY USING PRACTICAL APPLICATIONS OF CHEMISTRY, PHYSICS AND BIOLOGY."/>
    <x v="3"/>
    <x v="3"/>
    <s v="Activity-based / Indirect"/>
    <s v="High"/>
    <m/>
    <m/>
    <m/>
  </r>
  <r>
    <n v="281440113"/>
    <n v="0.28144011299999999"/>
    <n v="50389801"/>
    <s v="Lifespan Physician Group Inc"/>
    <s v="Lifespan Physician Group, Inc. (LPG) was organized to provide accountable patient-centered, high quality, efficient, value-based, and innovative care to serve the health care needs of the communities in Rhode Island and elsewhere. The mission of LPG is: Delivering health with care."/>
    <x v="1"/>
    <x v="4"/>
    <s v="Activity-based / Indirect"/>
    <s v="High"/>
    <m/>
    <m/>
    <m/>
  </r>
  <r>
    <n v="267500979"/>
    <n v="0.26750097900000003"/>
    <n v="362118323"/>
    <s v="College of American Pathologists"/>
    <s v="CAP, THE LEADING ORG OF BOARD-CERTIFIED PATHOLOGISTS, SERVES PATIENTS, PATHOLOGISTS &amp; THE PUBLIC BY FOSTERING &amp; ADVOCATING EXELLENCE IN THE PRACTICE OF PATHOLOGY &amp; LAB MEDICINE"/>
    <x v="4"/>
    <x v="5"/>
    <s v="General Medical Area"/>
    <s v="High"/>
    <m/>
    <m/>
    <m/>
  </r>
  <r>
    <n v="214385090"/>
    <n v="0.21438509"/>
    <n v="363279680"/>
    <s v="Pediatric Faculty Foundation Inc"/>
    <s v="PEDIATRIC FACULTY FOUNDATION, INC., EMPLOYS PEDIATRIC MEDICINE SPECIALISTS &amp; SUBSPECIALISTS WHO PRACTICE AT LURIE CHILDREN'S OR A PARTNER SITE AND PROVIDE QUALITY HEALTH CARE TO CHILDREN IN THE COMMUNITY."/>
    <x v="2"/>
    <x v="6"/>
    <s v="General Medical Area"/>
    <s v="High"/>
    <m/>
    <m/>
    <m/>
  </r>
  <r>
    <n v="144774821"/>
    <n v="0.144774821"/>
    <n v="237203666"/>
    <s v="THE J DAVID GLADSTONE INSTITUTES"/>
    <s v="TO DRIVE A NEW ERA OF DISCOVERY IN DISEASE ORIENTED SCIENCE AND TO MENTOR TOMORROW'S LEADERS IN AN INSPIRING AND DIVERSE ENVIRONMENT."/>
    <x v="3"/>
    <x v="3"/>
    <s v="Activity-based / Indirect"/>
    <s v="High"/>
    <m/>
    <m/>
    <m/>
  </r>
  <r>
    <n v="141435105"/>
    <n v="0.14143510500000001"/>
    <n v="50539199"/>
    <s v="FUND FOR PUBLIC HEALTH IN NEW YORK INC"/>
    <s v="THE FUND FOR PUBLIC HEALTH IN NYC IS DEDICATED TO THE WELL-BEING OF ALL NYC RESIDENTS, IMPLEMENTING PROGRAMS IN COLLABORATION WITH THE NYC HEALTH DEPARTMENT, LEVERAGING ITS EXPERTISE IN FUNDRAISING, PUBLIC/PRIVATE PARTNERSHIPS, AND AGILE OPERATIONS TO HELP THE NYC HEALTH DEPARTMENT DO MORE, MORE QUICKLY."/>
    <x v="5"/>
    <x v="7"/>
    <s v="Activity-based / Indirect"/>
    <s v="High"/>
    <m/>
    <m/>
    <m/>
  </r>
  <r>
    <n v="136817092"/>
    <n v="0.136817092"/>
    <n v="112673595"/>
    <s v="THE FEINSTEIN INSTITUTES FOR"/>
    <s v="THE FEINSTEIN INSTITUTE FOR MEDICAL RESEARCH STRIVES TO IMPROVE THE HEALTH OF THE COMMUNITIES IT SERVES AND IS COMMITTED TO FINDING NEW ADVANCES IN MEDICINE THROUGH RESEARCH"/>
    <x v="3"/>
    <x v="8"/>
    <s v="Activity-based / Indirect"/>
    <s v="High"/>
    <m/>
    <m/>
    <m/>
  </r>
  <r>
    <n v="129974948"/>
    <n v="0.12997494800000001"/>
    <n v="464150987"/>
    <s v="VALLEY CHILDREN'S MEDICAL GROUP"/>
    <s v="PROVIDE HIGH QUALITY, COMPREHENSIVE HEALTHCARE SERVICES TO CHILDREN."/>
    <x v="1"/>
    <x v="9"/>
    <s v="Activity-based / Indirect"/>
    <s v="High"/>
    <m/>
    <m/>
    <m/>
  </r>
  <r>
    <n v="125543961"/>
    <n v="0.12554396100000001"/>
    <n v="237388767"/>
    <s v="GREATER DELAWARE VALLEY SOCIETY OF"/>
    <s v="TO RECOVER AND ALLOCATE ORGANS AND TISSUES USED IN LIFE-SAVING AND LIFE-ENHANCING TRANSPLANTS."/>
    <x v="0"/>
    <x v="10"/>
    <s v="General Medical Area"/>
    <s v="High"/>
    <s v="ALLOCATE ORGANS AND TISSUES"/>
    <m/>
    <m/>
  </r>
  <r>
    <n v="122037360"/>
    <n v="0.12203736"/>
    <n v="42702169"/>
    <s v="CHMC Anesthesia Foundation Inc"/>
    <s v="The Foundation provides medical research and educational services to Boston (see Schedule O) Children's Hospital and Harvard Medical School. The Foundation also provides care for patients in Massachusetts regardless of their ability to pay, as well as providing and supporting hospital and community based services that are either unavailable or limited elsewhere in the community."/>
    <x v="1"/>
    <x v="1"/>
    <s v="Activity-based / Indirect"/>
    <s v="High"/>
    <m/>
    <m/>
    <m/>
  </r>
  <r>
    <n v="108315323"/>
    <n v="0.10831532300000001"/>
    <n v="465054207"/>
    <s v="MICHIGAN HEALTH ENDOWMENT FUND"/>
    <s v="THE MISSION OF THE MICHIGAN HEALTH ENDOWMENT FUND IS TO IMPROVE THE HEALTH OF MICHIGAN RESIDENTS, WITH SPECIAL EMPHASIS ON THE HEALTH AND WELLNESS OF CHILDREN AND SENIORS, WHILE REDUCING THE COST OF HEALTH CARE."/>
    <x v="6"/>
    <x v="11"/>
    <s v="Activity-based / Indirect"/>
    <s v="High"/>
    <m/>
    <m/>
    <m/>
  </r>
  <r>
    <n v="97184276"/>
    <n v="9.7184276E-2"/>
    <n v="43320640"/>
    <s v="Dana-FarberMass General Brigham Cancer Care INC"/>
    <s v="COORDINATION OF ONCOLOGY CLINICAL RESEARCH, EDUCATION AND PROGRAMS ACROSS DANA-FARBER, MASSACHUSETTS GENERAL HOSPITAL AND BRIGHAM AND WOMEN'S HOSPITAL."/>
    <x v="4"/>
    <x v="6"/>
    <s v="General Medical Area"/>
    <s v="High"/>
    <s v=" ONCOLOGY CLINICAL RESEARCH"/>
    <m/>
    <m/>
  </r>
  <r>
    <n v="79731874"/>
    <n v="7.9731873999999994E-2"/>
    <n v="980041019"/>
    <s v="International Center for Diarrhoeal Disease Resear"/>
    <s v="ICDDR,B based in Dhaka, Bangladesh is committed to solving public health problems facing low and middle income countries through innovative scientific research, including laboratory based, clinical, epidemiological and health systems research."/>
    <x v="6"/>
    <x v="11"/>
    <s v="Activity-based / Indirect"/>
    <s v="High"/>
    <m/>
    <m/>
    <m/>
  </r>
  <r>
    <n v="64881149"/>
    <n v="6.4881148999999999E-2"/>
    <n v="363689171"/>
    <s v="ROBERT R MCCORMICK FOUNDATION"/>
    <s v="PROVIDE GRANTS TO ORGANIZATIONS WORKING TO BUILD THRIVING COMMUNITIES IN CHICAGOLAND."/>
    <x v="7"/>
    <x v="12"/>
    <s v="Not Applicable / Non-health"/>
    <s v="High"/>
    <m/>
    <m/>
    <m/>
  </r>
  <r>
    <n v="58837465"/>
    <n v="5.8837464999999999E-2"/>
    <n v="752641151"/>
    <s v="Mercy Ships Foundation"/>
    <s v="Each year we send hospital ships filled with volunteer professionals who selflessly provide life-changing surgeries."/>
    <x v="1"/>
    <x v="13"/>
    <s v="Activity-based / Indirect"/>
    <s v="High"/>
    <m/>
    <m/>
    <m/>
  </r>
  <r>
    <n v="55810422"/>
    <n v="5.5810421999999998E-2"/>
    <n v="411677920"/>
    <s v="HENNEPIN HEALTHCARE RESEARCH INSTITUTE"/>
    <s v="IMPROVE PATIENT CARE AND THE HEALTH OF OUR COMMUNITY THROUGH RESEARCH AND EDUCATION."/>
    <x v="3"/>
    <x v="1"/>
    <s v="Activity-based / Indirect"/>
    <s v="High"/>
    <m/>
    <m/>
    <m/>
  </r>
  <r>
    <n v="53956250"/>
    <n v="5.3956249999999997E-2"/>
    <n v="721283359"/>
    <s v="HIV-AIDS Alliance for Region Two Inc"/>
    <s v="To provide affordable, quality healthcare to our community."/>
    <x v="1"/>
    <x v="14"/>
    <s v="Needs Review"/>
    <s v="Medium"/>
    <m/>
    <m/>
    <m/>
  </r>
  <r>
    <n v="52477819"/>
    <n v="5.2477819000000002E-2"/>
    <n v="263160079"/>
    <s v="FOUNDATION FOR ANGELMAN SYNDROME"/>
    <s v="THE FOUNDATION FOR ANGELMAN SYNDROME THERAPEUTICS (FAST) IS DEDICATED TO FINDING A CURE FOR ANGELMAN SYNDROME (AS) AND RELATED DISORDERS THROUGH THE FUNDING OF AN AGGRESSIVE RESEARCH AGENDA, EDUCATION, AWARENESS, AND ADVOCACY."/>
    <x v="3"/>
    <x v="15"/>
    <s v="Disease-specific (Dictionary Needed)"/>
    <s v="High"/>
    <s v=" ANGELMAN SYNDROME THERAPEUTICS (FAST)"/>
    <m/>
    <m/>
  </r>
  <r>
    <n v="52398042"/>
    <n v="5.2398041999999999E-2"/>
    <n v="362181944"/>
    <s v="AMERICAN SOCIETY OF ANESTHESIOLOGISTS"/>
    <s v="ADVANCING THE PRACTICE AND SECURING THE FUTURE OF ANESTHESIOLOGY THROUGH MEDICAL EDUCATION, CREATION AND DISSEMINATION OF NEW KNOWLEDGE, IMPROVEMENT OF PATIENT CARE, AND LEGISLATIVE AND REGULATORY ADVOCACY."/>
    <x v="4"/>
    <x v="16"/>
    <s v="Activity-based / Indirect"/>
    <s v="High"/>
    <s v="ANESTHESIOLOGY"/>
    <m/>
    <m/>
  </r>
  <r>
    <n v="51711930"/>
    <n v="5.1711930000000003E-2"/>
    <n v="270614861"/>
    <s v="HUMC CARDIOVASCULAR PARTNERS PC"/>
    <s v="THE ORGANIZATION PROVIDES HIGH QUALITY MEDICAL CARE TO THE COMMUNITY THAT IT SERVES AND SPECIFICALLY PROVIDES CARDIOLOGY &amp; RELATED PROFESSIONAL MEDICAL SERVICES IN CONJUNCTION WITH HMH HOSPITALS CORP."/>
    <x v="1"/>
    <x v="17"/>
    <s v="General Medical Area"/>
    <s v="High"/>
    <s v="CARDIOLOGY &amp; RELATED PROFESSIONAL MEDICAL SERVICES"/>
    <m/>
    <m/>
  </r>
  <r>
    <n v="47870561"/>
    <n v="4.7870560999999999E-2"/>
    <n v="521006053"/>
    <s v="ADVANCED MEDICAL TECHNOLOGY ASSOCIATION"/>
    <s v="REPRESENT MEDICAL DIAGNOSTICS &amp; DEVICE MANUFACTURERS ON REGULATORY &amp; LEGISLATIVE ISSUES."/>
    <x v="0"/>
    <x v="11"/>
    <s v="Activity-based / Indirect"/>
    <s v="High"/>
    <s v="REPRESENT MEDICAL DIAGNOSTICS &amp; DEVICE MANUFACTURERS"/>
    <m/>
    <m/>
  </r>
  <r>
    <n v="47789496"/>
    <n v="4.7789496000000001E-2"/>
    <n v="753065445"/>
    <s v="THE TRANSLATIONAL GENOMICS RESEARCH INSTITUTE"/>
    <s v="PLEASE SEE SCHEDULE O"/>
    <x v="8"/>
    <x v="14"/>
    <s v="Needs Review"/>
    <s v="Medium"/>
    <m/>
    <m/>
    <m/>
  </r>
  <r>
    <n v="47496866"/>
    <n v="4.7496865999999999E-2"/>
    <n v="952706764"/>
    <s v="IMMACULATE HEART COMMUNITY"/>
    <s v="SEEKS TO STRATEGICALLY CHANGE PRACTICES AND SITUATIONS THROUGH ART, EDUCATION, SPIRITUALITY, AND SOCIAL SERVICES."/>
    <x v="7"/>
    <x v="12"/>
    <s v="Not Applicable / Non-health"/>
    <s v="High"/>
    <m/>
    <m/>
    <m/>
  </r>
  <r>
    <n v="44438427"/>
    <n v="4.4438427000000003E-2"/>
    <n v="231417504"/>
    <s v="AMERICAN BOARD OF PEDIATRICS INC"/>
    <s v="see Schedule O"/>
    <x v="8"/>
    <x v="14"/>
    <s v="Needs Review"/>
    <s v="High"/>
    <m/>
    <m/>
    <m/>
  </r>
  <r>
    <n v="43206329"/>
    <n v="4.3206329000000002E-2"/>
    <n v="521122122"/>
    <s v="WHITMAN-WALKER CLINIC INC"/>
    <s v="See Schedule O."/>
    <x v="8"/>
    <x v="14"/>
    <s v="Needs Review"/>
    <s v="High"/>
    <m/>
    <m/>
    <m/>
  </r>
  <r>
    <n v="39488811"/>
    <n v="3.9488810999999999E-2"/>
    <n v="111821135"/>
    <s v="EPIC LONG ISLAND INC"/>
    <s v="TO ENRICH PEOPLES LIVES THROUGH A BROAD RANGE OF SERVICES, &amp; AN UNWAVERING COMMITMENT TO EXCELLENCE."/>
    <x v="7"/>
    <x v="12"/>
    <s v="Not Applicable / Non-health"/>
    <s v="High"/>
    <m/>
    <m/>
    <m/>
  </r>
  <r>
    <n v="38199006"/>
    <n v="3.8199006000000001E-2"/>
    <n v="410793046"/>
    <s v="AMERICAN ACADEMY OF DERMATOLOGY INC"/>
    <s v="PROMOTING LEADERSHIP IN DERMATOLOGY AND EXCELLENCE IN PATIENT CARE THROUGH EDUCATION, RESEARCH, AND ADVOCACY."/>
    <x v="3"/>
    <x v="16"/>
    <s v="Activity-based / Indirect"/>
    <s v="High"/>
    <s v="DERMATOLOGY"/>
    <m/>
    <m/>
  </r>
  <r>
    <n v="35579202"/>
    <n v="3.5579201999999997E-2"/>
    <n v="430921226"/>
    <s v="AMERICAN BOARD OF FAMILY MEDICINE INC"/>
    <s v="ESTABLISHMENT OF STANDARDS FOR EDUCATION, TRAINING AND CERTIFICATION OF FAMILY PHYSICIANS"/>
    <x v="4"/>
    <x v="18"/>
    <s v="General Medical Area"/>
    <s v="Medium"/>
    <s v="FAMILY PHYSICIANS"/>
    <m/>
    <m/>
  </r>
  <r>
    <n v="33233606"/>
    <n v="3.3233605999999999E-2"/>
    <n v="131926775"/>
    <s v="INTERNATIONAL COPPER ASSOCIATION LTD"/>
    <s v="TO EXPAND THE USE OF COPPER WORLDWIDE BY SPONSORING AND MANAGING MARKET DEVELOPMENT AND TECHNOLOGICAL ACTIVITIES ON A GLOBAL BASIS."/>
    <x v="7"/>
    <x v="12"/>
    <s v="Not Applicable / Non-health"/>
    <s v="High"/>
    <m/>
    <m/>
    <m/>
  </r>
  <r>
    <n v="32055717"/>
    <n v="3.2055716999999997E-2"/>
    <n v="363022713"/>
    <s v="THE SOCIETY OF THORACIC SURGEONS"/>
    <s v="TO ENHANCE THE ABILITY OF CARDIOTHORACIC SURGEONS TO PROVIDE THE HIGHEST QUALITY PATIENT CARE."/>
    <x v="4"/>
    <x v="5"/>
    <s v="General Medical Area"/>
    <s v="High"/>
    <s v="CARDIOTHORACIC SURGEONS"/>
    <m/>
    <m/>
  </r>
  <r>
    <n v="31297073"/>
    <n v="3.1297073000000002E-2"/>
    <n v="453765330"/>
    <s v="CHILDREN'S CLINIC NETWORK"/>
    <s v="CHILDREN'S CLINIC NETWORK CHAMPIONS THE SPECIAL HEALTH NEEDS OF CHILDREN AND THEIR FAMILIES."/>
    <x v="1"/>
    <x v="9"/>
    <s v="General Medical Area"/>
    <s v="High"/>
    <s v="CHILDREN'S CLINIC NETWORK"/>
    <m/>
    <m/>
  </r>
  <r>
    <n v="28408497"/>
    <n v="2.8408497000000001E-2"/>
    <n v="911215715"/>
    <s v="LIFELONG HEALTH FOR ALL"/>
    <s v="LIFELONG REMOVES BARRIERS TO HEALTH WITH RELENTLESS COMPASSION SO THAT NO ONE FACES ILLNESS AND INJUSTICE ALONE."/>
    <x v="1"/>
    <x v="2"/>
    <s v="Activity-based / Indirect"/>
    <s v="High"/>
    <m/>
    <m/>
    <m/>
  </r>
  <r>
    <n v="26952723"/>
    <n v="2.6952723000000001E-2"/>
    <n v="161118058"/>
    <s v="LEARNING DISABILITIES ASSOCIATION OF"/>
    <s v="OUR MISSION IS TO PROVIDE HIGH QUALITY, INDIVIDUALIZED, COMPREHENSIVE AND INNOVATIVE SERVICES WHICH SUPPORT, EDUCATE AND EMPOWER INDIVIDUALS WITH LEARNING DISABILITIES, NEUROLOGICAL IMPAIRMENT AND OTHER DISABILITIES WITH SIMILAR NEEDS."/>
    <x v="2"/>
    <x v="2"/>
    <s v="General Medical Area"/>
    <s v="High"/>
    <s v="NDIVIDUALS WITH LEARNING DISABILITIES, NEUROLOGICAL IMPAIRMENT AND OTHER DISABILITIES WITH SIMILAR NEEDS."/>
    <m/>
    <m/>
  </r>
  <r>
    <n v="25785085"/>
    <n v="2.5785084999999999E-2"/>
    <n v="820497771"/>
    <s v="CLEARWATER VALLEY HOSPITAL AND"/>
    <s v="TO IMPROVE HEALTH ONE PATIENT AT A TIME IN A FRIENDLY AND PROFESSIONAL CULTURE COMMITTED TO SUPERIOR QUALITY AND SAFETY."/>
    <x v="8"/>
    <x v="14"/>
    <s v="Needs Review"/>
    <s v="High"/>
    <m/>
    <m/>
    <m/>
  </r>
  <r>
    <n v="25591458"/>
    <n v="2.5591458000000001E-2"/>
    <n v="237367533"/>
    <s v="RURAL COMMUNITY ASSISTANCE"/>
    <s v="BUILDING A THRIVING RURAL AMERICA THROUGH LEADERSHIP, COLLABORATION, ECONOMIC OPPORTUNITY AND RESILIENT INFRASTRUCTURE."/>
    <x v="7"/>
    <x v="12"/>
    <s v="Not Applicable / Non-health"/>
    <s v="High"/>
    <m/>
    <m/>
    <m/>
  </r>
  <r>
    <n v="24314929"/>
    <n v="2.4314928999999999E-2"/>
    <n v="43760551"/>
    <s v="Fort Sanders Perinatal Center"/>
    <s v="Fort Sanders Perinatal Center works closely with the women's services department at Fort Sanders Regional Medical Center providing comprehensive obstetrical services to women, including women with high-risk pregnancies. Fort Sanders Perinatal Center is located in the Fort Sanders community of downtown Knoxville, Tennessee, and is a member of the Covenant Health system."/>
    <x v="1"/>
    <x v="17"/>
    <s v="General Medical Area"/>
    <s v="High"/>
    <s v=" Perinatal Center"/>
    <m/>
    <m/>
  </r>
  <r>
    <n v="24108935"/>
    <n v="2.4108935000000001E-2"/>
    <n v="900133592"/>
    <s v="ADDGENE INC"/>
    <s v="ADDGENE, INC. PROVIDES RESEARCH SUPPORT SERVICE DEDICATED TO ARCHIVING AND DISTRIBUTING PLASMIDS THAT APPEAR IN PUBLISHED ARTICLES. BY LINKING PLASMIDS WITH PUBLICATIONS, SCIENTISTS ARE ALWAYS CONNECTED TO DATA GENERATED FROM THE MATERIALS THAT THEY ARE REQUESTING. THE COMPANY'S GOAL IS TO COMPILE A COMPREHENSIVE LIBRARY OF PLASMIDS TO FACILITATE RESEARCH AND DISCOVERY."/>
    <x v="0"/>
    <x v="3"/>
    <s v="General Medical Area"/>
    <s v="High"/>
    <s v=" DEDICATED TO ARCHIVING AND DISTRIBUTING PLASMID"/>
    <m/>
    <m/>
  </r>
  <r>
    <n v="23783850"/>
    <n v="2.3783849999999999E-2"/>
    <n v="571092940"/>
    <s v="AFFINITY HEALTH CENTER"/>
    <s v="TO PROVIDE HIGH-QUALITY COMPREHENSIVE HEALTHCARE WITH COMPASSION, DIGNITY AND RESPECT."/>
    <x v="1"/>
    <x v="17"/>
    <s v="Activity-based / Indirect"/>
    <s v="High"/>
    <m/>
    <m/>
    <m/>
  </r>
  <r>
    <n v="23454198"/>
    <n v="2.3454197999999999E-2"/>
    <n v="453851008"/>
    <s v="Rockhill Orthopaedic Specialists Inc"/>
    <s v="ORTHOPAEDIC SPECIALTY SERVICES"/>
    <x v="1"/>
    <x v="4"/>
    <s v="General Medical Area"/>
    <s v="High"/>
    <s v="ORTHOPAEDIC "/>
    <m/>
    <m/>
  </r>
  <r>
    <n v="21587195"/>
    <n v="2.1587195E-2"/>
    <n v="383203030"/>
    <s v="FRAUNHOFER USA INC"/>
    <s v="ENHANCE THE TECHNOLOGICAL COMPETENCE AND KNOWLEDGE OF THE U.S. MANUFACTURING INDUSTRY BY FOSTERING ADVANCED TECHNOLOGICAL RESEARCH AND DEVELOPMENT AND INNOVATIVE METHODS OF TECHNOLOGICAL EDUCATION FOR THE BETTERMENT OF THE GENERAL PUBLIC AND THE ACADEMIC, SCIENTIFIC, AND MANUFACTURING COMMUNITIES."/>
    <x v="7"/>
    <x v="12"/>
    <s v="Not Applicable / Non-health"/>
    <s v="High"/>
    <m/>
    <m/>
    <m/>
  </r>
  <r>
    <n v="20547566"/>
    <n v="2.0547566E-2"/>
    <n v="411801967"/>
    <s v="SIBLEY MEDICAL CENTER"/>
    <s v="RIDGEVIEW SIBLEY MEDICAL CENTER EXISTS TO ENHANCE THE LIFELONG HEALTH OF THE PEOPLE WE SERVE WITH A CULTURE THAT NURTURES THE WHOLE PERSONMIND, BODY AND SPIRIT."/>
    <x v="1"/>
    <x v="6"/>
    <s v="Activity-based / Indirect"/>
    <s v="High"/>
    <m/>
    <m/>
    <m/>
  </r>
  <r>
    <n v="18558316"/>
    <n v="1.8558315999999998E-2"/>
    <n v="590637822"/>
    <s v="UNITED CEREBRAL PALSY ASSOCIATION"/>
    <s v="TO PROMOTE THE GENERAL WELFARE OF DEVELOPMENTALLY DISABLED AND/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
    <x v="2"/>
    <x v="2"/>
    <s v="General Medical Area"/>
    <s v="High"/>
    <s v="DEVELOPMENTALLY DISABLED AND/OR HANDICAPPED PERSONS"/>
    <m/>
    <m/>
  </r>
  <r>
    <n v="18363438"/>
    <n v="1.8363437999999999E-2"/>
    <n v="841588357"/>
    <s v="UNAVCO INC"/>
    <s v="A UNIVERSITY GOVERNED CONSORTIUM FACILITATING GEOSCIENCE RESEARCH AND EDUCATION USING GEODESY."/>
    <x v="7"/>
    <x v="12"/>
    <s v="Activity-based / Indirect"/>
    <s v="High"/>
    <m/>
    <m/>
    <m/>
  </r>
  <r>
    <n v="18356752"/>
    <n v="1.8356752E-2"/>
    <n v="410773787"/>
    <s v="The American Board of Radiology"/>
    <s v="TO CERTIFY THAT OUR DIPLOMATES DEMONSTRATE THE REQUISITE KNOWLEDGE, SKILL, AND UNDERSTANDING OF THEIR DISCIPLINE TO THE BENEFIT OF PATIENTS."/>
    <x v="4"/>
    <x v="19"/>
    <s v="Not Applicable / Non-health"/>
    <s v="High"/>
    <m/>
    <m/>
    <m/>
  </r>
  <r>
    <n v="18150168"/>
    <n v="1.8150168000000001E-2"/>
    <n v="135641857"/>
    <s v="NATIONAL BLEEDING DISORDERS FOUNDATION"/>
    <s v="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
    <x v="3"/>
    <x v="15"/>
    <s v="Activity-based / Indirect"/>
    <s v="High"/>
    <m/>
    <m/>
    <m/>
  </r>
  <r>
    <n v="17713511"/>
    <n v="1.7713511000000001E-2"/>
    <n v="812927460"/>
    <s v="SAINT MICHAEL'S CLINICS INC"/>
    <s v="PROMOTION OF PUBLIC HEALTH."/>
    <x v="5"/>
    <x v="7"/>
    <s v="Activity-based / Indirect"/>
    <s v="High"/>
    <m/>
    <m/>
    <m/>
  </r>
  <r>
    <n v="17478241"/>
    <n v="1.7478240999999999E-2"/>
    <n v="264146730"/>
    <s v="GARY AND MARY WEST HEALTH INSTITUTE"/>
    <s v="CONDUCTING MEDICAL RESEARCH WITH HOSPITALS TO REDUCE HEALTHCARE COSTS WITH A FOCUS ON SENIORS."/>
    <x v="1"/>
    <x v="3"/>
    <s v="Activity-based / Indirect"/>
    <s v="High"/>
    <m/>
    <m/>
    <m/>
  </r>
  <r>
    <n v="16965494"/>
    <n v="1.6965494000000001E-2"/>
    <n v="161091767"/>
    <s v="ABLE2 ENHANCING POTENTIAL INC"/>
    <s v="THE AGENCY PROVIDES SERVICES TO INDIVIDUALS WITH DEVELOPMENTAL DISABILITIES, INCLUDING RESIDENTIAL, DAY PROGRAM AND COMMUNITY HABILITATION."/>
    <x v="2"/>
    <x v="2"/>
    <s v="General Medical Area"/>
    <s v="Medium"/>
    <s v="FOCUS ON SENIORS"/>
    <m/>
    <m/>
  </r>
  <r>
    <n v="16916817"/>
    <n v="1.6916817000000001E-2"/>
    <n v="222693047"/>
    <s v="MASSACHUSETTS BIOTECHNOLOGY COUNCIL INC"/>
    <s v="MASSBIO IS COMMITTED TO ADVANCING MASSACHUSETTS' LEADERSHIP IN THE LIFE SCIENCES TO GROW THE INDUSTRY, ADD VALUE TO THE HEALTH CARE SYSTEM AND IMPROVE PATIENT LIVES."/>
    <x v="8"/>
    <x v="14"/>
    <s v="Needs Review"/>
    <s v="Medium"/>
    <m/>
    <m/>
    <m/>
  </r>
  <r>
    <n v="16409981"/>
    <n v="1.6409981000000001E-2"/>
    <n v="811669175"/>
    <s v="CHAN ZUCKERBERG BIOHUB INC"/>
    <s v="CONDUCT CUTTING EDGE MEDICAL RESEARCH"/>
    <x v="3"/>
    <x v="3"/>
    <s v="Activity-based / Indirect"/>
    <s v="High"/>
    <m/>
    <m/>
    <m/>
  </r>
  <r>
    <n v="14695495"/>
    <n v="1.4695494999999999E-2"/>
    <n v="590174817"/>
    <s v="UNITED CEREBRAL PALSY OF BROWARD"/>
    <s v="THE ORGANIZATION'S MISSION IS TO IMPROVE THE QUALITY OF LIFE OF THE DEVELOPMENTALLY DISABLED BY PROVIDING TRAINING AND EDUCATIONAL SERVICES, RESIDENTIAL SERVICES AND TO BE AN ADVOCATE FOR THE DEVELOPMENTALLY DISABLED AND TO PROVIDE SUPPORT TO THEIR FAMILIES."/>
    <x v="3"/>
    <x v="3"/>
    <s v="General Medical Area"/>
    <s v="High"/>
    <s v=" DEVELOPMENTALLY DISABLED "/>
    <m/>
    <m/>
  </r>
  <r>
    <n v="13851019"/>
    <n v="1.3851018999999999E-2"/>
    <n v="364367987"/>
    <s v="AMERICAN ACADEMY OF DERMATOLOGY"/>
    <s v="PROMOTING LEADERSHIP IN DERMATOLOGY AND EXCELLENCE IN PATIENT CARE THROUGH RESEARCH AND ADVOCACY."/>
    <x v="2"/>
    <x v="15"/>
    <s v="Activity-based / Indirect"/>
    <s v="High"/>
    <s v="DERMATOLOGY "/>
    <m/>
    <m/>
  </r>
  <r>
    <n v="13595220"/>
    <n v="1.359522E-2"/>
    <n v="205244339"/>
    <s v="AMERICAN THROMBOSIS AND HEMOSTASIS"/>
    <s v="NON-PROFIT ORGANIZATION DEDICATED TO ADVANCE AND IMPROVE THE CARE OF INDIVIDUALS WITH BLEEDING AND CLOTTING DISORDERS."/>
    <x v="2"/>
    <x v="15"/>
    <s v="General Medical Area"/>
    <s v="High"/>
    <s v="ORGANIZATION DEDICATED"/>
    <m/>
    <m/>
  </r>
  <r>
    <n v="13468545"/>
    <n v="1.3468545E-2"/>
    <n v="880245022"/>
    <s v="STEADMAN PHILIPPON RESEARCH INSTITUTE"/>
    <s v="DEDICATION TO KEEPING PEOPLE PHYSICALLY ACTIVE THROUGH ORTHOPAEDIC RESEARCH AND EDUCATION."/>
    <x v="2"/>
    <x v="16"/>
    <s v="Activity-based / Indirect"/>
    <s v="High"/>
    <s v=" ORTHOPAEDIC RESEARCH"/>
    <m/>
    <m/>
  </r>
  <r>
    <n v="12864398"/>
    <n v="1.2864398000000001E-2"/>
    <n v="263085485"/>
    <s v="THE JACOBS INSTITUTE INC"/>
    <s v="REFER TO SCHEDULE O.THE JACOBS INSTITUTE, INC., LOCATED IN BUFFALO, NEW YORK, WAS FORMED IN 2008 TO ACCOMPLISH THE VISION OF MAKING WESTERN NEW YORK A CENTER FOR WORLD-CLASS EXCELLENCE IN RESEARCH, TEACHING, PUBLIC AWARENESS AND ADVANCES IN CLINICAL AND MINIMALLY-INVASIVE SURGICAL TREATMENT OF GLOBAL VASCULAR DISEASE."/>
    <x v="4"/>
    <x v="16"/>
    <s v="General Medical Area"/>
    <s v="High"/>
    <s v="CLINICAL AND MINIMALLY-INVASIVE SURGICAL TREATMENT"/>
    <m/>
    <m/>
  </r>
  <r>
    <n v="12603959"/>
    <n v="1.2603959E-2"/>
    <n v="113800306"/>
    <s v="FOGARTY INSTITUTE FOR INNOVATION"/>
    <s v="THE FOGARTY INSTITUTE FOR INNOVATION IS DEDICATED TO FINDING NEW WAYS TO TREAT ILLNESSES AND IMPROVE THE WELL-BEING OF PATIENTS THROUGH THE PRACTICAL APPLICATION OF INNOVATIVE IDEAS AND THE EDUCATION AND MENTORING OF MEDICAL INNOVATORS."/>
    <x v="3"/>
    <x v="16"/>
    <s v="General Medical Area"/>
    <s v="High"/>
    <m/>
    <m/>
    <m/>
  </r>
  <r>
    <n v="12475884"/>
    <n v="1.2475884E-2"/>
    <n v="830900646"/>
    <s v="SUPERIOR HEALTH QUALITY ALLIANCE INC"/>
    <s v="SUPERIOR HEALTH QUALITY ALLIANCE, INC. (SUPERIOR HEALTH) IMPROVES HEALTH CARE QUALITY, EXPERIENCE, AND EQUITY ACROSS THE CONTINUUM OF CARE. WE FOCUS ON INNOVATION, EFFECTIVENESS AND EFFICIENCY IN DESIGNING AND IMPLEMENTING QUALITY IMPROVEMENT INITIATIVES THAT ARE PERSON-CENTERED AND INTEGRATED ACROSS SETTINGS AND SERVICES. SUPERIOR HEALTH LEVERAGES EXTENSIVE QUALITY IMPROVEMENT EXPERIENCE AND EXPERTISE BY BRINGING THE POWER OF EIGHT ORGANIZATIONS TOGETHER TO ACHIEVE THIS MISSION."/>
    <x v="1"/>
    <x v="18"/>
    <s v="General Medical Area"/>
    <s v="High"/>
    <m/>
    <m/>
    <m/>
  </r>
  <r>
    <n v="11940995"/>
    <n v="1.1940994999999999E-2"/>
    <n v="161396939"/>
    <s v="HEALTH MANAGEMENT GROUP LTD"/>
    <s v="HEALTH MANAGEMENT GROUP PROVIDES ADMINISTRATIVE SERVICES TO RELATED NON-PROFIT ORGANIZATIONS."/>
    <x v="0"/>
    <x v="20"/>
    <s v="Activity-based / Indirect"/>
    <s v="High"/>
    <m/>
    <m/>
    <m/>
  </r>
  <r>
    <n v="11925707"/>
    <n v="1.1925707000000001E-2"/>
    <n v="581849665"/>
    <s v="CENTER FOR GLOBAL HEALTH INNOVATION"/>
    <s v="CGHI EXISTS TO ADVANCE GLOBAL HEALTH EQUITY BY PROMOTING AND FACILITATING COLLABORATION TO DRIVE IMPACTFUL INNOVATION."/>
    <x v="0"/>
    <x v="20"/>
    <s v="Activity-based / Indirect"/>
    <s v="High"/>
    <m/>
    <m/>
    <m/>
  </r>
  <r>
    <n v="11598945"/>
    <n v="1.1598944999999999E-2"/>
    <n v="205744808"/>
    <s v="FOCUSED ULTRASOUND FOUNDATION"/>
    <s v="ORGANIZE, CONDUCT, AND FUND RESEARCH, FOSTER COLLABORATION THROUGH MEETINGS, SYMPOSIA AND WORKSHOPS, CULTIVATE THE NEXT GENERATION THROUGH FELLOWSHIPS AND INTERNSHIPS, AND COLLECT AND DISSEMINATE KNOWLEDGE."/>
    <x v="6"/>
    <x v="5"/>
    <s v="Activity-based / Indirect"/>
    <s v="High"/>
    <m/>
    <m/>
    <m/>
  </r>
  <r>
    <n v="11462253"/>
    <n v="1.1462253E-2"/>
    <n v="473290570"/>
    <s v="Global Alzheimer's Platform Foundation Inc"/>
    <s v="see Schedule O"/>
    <x v="8"/>
    <x v="14"/>
    <s v="Needs Review"/>
    <s v="High"/>
    <m/>
    <m/>
    <m/>
  </r>
  <r>
    <n v="11425004"/>
    <n v="1.1425004000000001E-2"/>
    <n v="141810368"/>
    <s v="THE CARMELITE SYSTEM INC"/>
    <s v="THE CARMELITE SYSTEM, INC. HAS BEEN ORGANIZED TO PERPETUATE LONG-TERM HEALTH MINISTRY IN CONFORMANCE WITH THE THEOLOGY, PHILOSOPHY, TEACHINGS AND DOCTRINES OF THE ROMAN CATHOLIC CHURCH, RESPECTING AND BUILDING UPON THE MISSION, PHILOSOPHY AND VALUES OF THE CARMELITE SISTERS FOR THE AGED &amp; INFIRM."/>
    <x v="2"/>
    <x v="2"/>
    <s v="General Medical Area"/>
    <s v="High"/>
    <s v="FOR THE AGED &amp; INFIRM."/>
    <m/>
    <m/>
  </r>
  <r>
    <n v="11400090"/>
    <n v="1.140009E-2"/>
    <n v="844029941"/>
    <s v="ALLIANCE NCTN FOUNDATION"/>
    <s v="TO PROVIDE SCIENTIFIC AND OPERATIONAL INFRASTRUCTURE FOR THE IMPLEMENTATION OF INNOVATIVE CLINICAL AND TRANSLATIONAL RESEARCH IN ACADEMIC AND COMMUNITY SETTINGS."/>
    <x v="0"/>
    <x v="20"/>
    <s v="Activity-based / Indirect"/>
    <s v="High"/>
    <m/>
    <m/>
    <m/>
  </r>
  <r>
    <n v="11365160"/>
    <n v="1.1365159999999999E-2"/>
    <n v="454681563"/>
    <s v="CATALPA HEALTH INC"/>
    <s v="HELPING CHILDREN AND FAMILIES IMPROVE THEIR MENTAL HEALTH AND WELLNESS."/>
    <x v="2"/>
    <x v="2"/>
    <s v="General Medical Area"/>
    <s v="High"/>
    <s v="HELPING CHILDREN AND FAMILIES"/>
    <m/>
    <m/>
  </r>
  <r>
    <n v="11284507"/>
    <n v="1.1284506999999999E-2"/>
    <n v="943402601"/>
    <s v="Equal Access International"/>
    <s v="To create positive social change for millions of under-served people across the developing world by providing critically needed information and education through innovative media, appropriate technology and direct community engagement."/>
    <x v="7"/>
    <x v="12"/>
    <s v="Not Applicable / Non-health"/>
    <s v="High"/>
    <m/>
    <m/>
    <m/>
  </r>
  <r>
    <n v="11134282"/>
    <n v="1.1134282000000001E-2"/>
    <n v="311449807"/>
    <s v="THE HEALTH COLLABORATIVE"/>
    <s v="STIMULATE MEANINGFUL IMPROVEMENT IN THE HEALTH OF THE PEOPLE OF CINCINNATI."/>
    <x v="8"/>
    <x v="14"/>
    <s v="Needs Review"/>
    <s v="High"/>
    <m/>
    <m/>
    <m/>
  </r>
  <r>
    <n v="11042911"/>
    <n v="1.1042911000000001E-2"/>
    <n v="522122720"/>
    <s v="FRIEDREICH'S ATAXIA RESEARCH ALLIANCE"/>
    <s v="TO TREAT AND CURE FRIEDREICH'S ATAXIA (FA) BY ADVANCING RESEARCH, AWARENESS AND PARTNERSHIPS."/>
    <x v="3"/>
    <x v="20"/>
    <s v="Disease-specific (Dictionary Needed)"/>
    <s v="High"/>
    <s v="FRIEDREICH'S ATAXIA (FA)"/>
    <m/>
    <m/>
  </r>
  <r>
    <n v="10933921"/>
    <n v="1.0933920999999999E-2"/>
    <n v="264443340"/>
    <s v="MEDICINES360"/>
    <s v="MEDICINES360 IS A NON-PROFIT PHARMACEUTICAL ORGANIZATION THAT ADDRESSES UNMET NEEDS OF WOMEN BY DEVELOPING INNOVATIVE, AFFORDABLE AND SUSTAINABLE MEDICINES AND DEVICES"/>
    <x v="3"/>
    <x v="3"/>
    <s v="General Medical Area"/>
    <s v="High"/>
    <s v="UNMET NEEDS OF WOMEN"/>
    <m/>
    <m/>
  </r>
  <r>
    <n v="10616004"/>
    <n v="1.0616004E-2"/>
    <n v="680637054"/>
    <s v="HAWAII PUBLIC HEALTH INSTITUTE"/>
    <s v="TO ADVANCE HEALTH AND WELLNESS OF THE PEOPLE AND ISLANDS OF HAWAI'I."/>
    <x v="5"/>
    <x v="7"/>
    <s v="Not Applicable / Non-health"/>
    <s v="High"/>
    <m/>
    <m/>
    <m/>
  </r>
  <r>
    <n v="10378976"/>
    <n v="1.0378976E-2"/>
    <n v="46406547"/>
    <s v="AMERICAN ASSOCIATION FOR THORACIC"/>
    <s v="PROMOTE SCHOLARSHIP, INNOVATION, AND LEADERSHIP FOR THORACIC AND CARDIOVASCULAR SURGERY."/>
    <x v="0"/>
    <x v="20"/>
    <s v="General Medical Area"/>
    <s v="High"/>
    <s v="THORACIC AND CARDIOVASCULAR SURGERY."/>
    <m/>
    <m/>
  </r>
  <r>
    <n v="10280296"/>
    <n v="1.0280296E-2"/>
    <n v="362906995"/>
    <s v="National Certification Corporation for"/>
    <s v="TO OFFER EXAMINATIONS AS A ROUTE TO CERTIFICATION TO FURTHER DEVELOP, EXPAND AND IMPROVE THE HEALTHCARE PROFESSION AS A WHOLE."/>
    <x v="4"/>
    <x v="19"/>
    <s v="Not Applicable / Non-health"/>
    <s v="High"/>
    <m/>
    <m/>
    <m/>
  </r>
  <r>
    <n v="10187777"/>
    <n v="1.0187777E-2"/>
    <n v="472219464"/>
    <s v="METIS FOUNDATION"/>
    <s v="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
    <x v="3"/>
    <x v="3"/>
    <s v="Activity-based / Indirect"/>
    <s v="High"/>
    <m/>
    <m/>
    <m/>
  </r>
  <r>
    <n v="10042342"/>
    <n v="1.0042341999999999E-2"/>
    <n v="131623854"/>
    <s v="The Jewish Guild for the Blind"/>
    <s v="To provide exceptional services that inspire people who are visually impaired to attain their goals."/>
    <x v="2"/>
    <x v="15"/>
    <s v="General Medical Area"/>
    <s v="High"/>
    <s v=" people who are visually impaired "/>
    <m/>
    <m/>
  </r>
  <r>
    <n v="9987613"/>
    <n v="9.9876129999999994E-3"/>
    <n v="363382069"/>
    <s v="North American Spine Society"/>
    <s v="Pursue scientific knowledge and high standards of excellence in the field of spinal disorders."/>
    <x v="4"/>
    <x v="5"/>
    <s v="Disease-specific (Dictionary Needed)"/>
    <s v="High"/>
    <s v="field of spinal disorders"/>
    <m/>
    <m/>
  </r>
  <r>
    <n v="9922476"/>
    <n v="9.9224759999999995E-3"/>
    <n v="522317193"/>
    <s v="THE AMERICAN ASSOCIATION OF"/>
    <s v="TO ADVANCE AND DISSEMINATE THE KNOWLEDGE OF IMMUNOLOGY AND RELATED DISCIPLINES, TO FOSTER INTERCHANGE OF IDEAS AND INFORMATION AMONG INVESTIGATORS IN THE VARIOUS DISCIPLINES, AND PROMOTING AN UNDERSTANDING OF THE FIELD OF IMMUNOLOGY."/>
    <x v="4"/>
    <x v="5"/>
    <s v="General Medical Area"/>
    <s v="High"/>
    <s v="IMMUNOLOGY AND RELATED DISCIPLINES"/>
    <m/>
    <m/>
  </r>
  <r>
    <n v="9767076"/>
    <n v="9.7670759999999995E-3"/>
    <n v="814538081"/>
    <s v="HEALTH CARE ADVOCATES INTERNATIONAL LLC"/>
    <s v="HEALTH CARE &amp; WELLNESS CLINIC"/>
    <x v="1"/>
    <x v="17"/>
    <s v="Not Applicable / Non-health"/>
    <s v="High"/>
    <m/>
    <m/>
    <m/>
  </r>
  <r>
    <n v="9735414"/>
    <n v="9.7354139999999995E-3"/>
    <n v="363180580"/>
    <s v="AMERICAN ASSOCIATION FOR ACCREDITATION"/>
    <s v="IMPLEMENT STANDARDS OF EXELLENCE TO ENSURE QUALITY OF PATIENT CARE THROUGH AN ACCREDITATION PROGRAM."/>
    <x v="4"/>
    <x v="19"/>
    <s v="Not Applicable / Non-health"/>
    <s v="High"/>
    <m/>
    <m/>
    <m/>
  </r>
  <r>
    <n v="9705783"/>
    <n v="9.7057830000000008E-3"/>
    <n v="570905550"/>
    <s v="LOWCOUNTRY AIDS SERVICES"/>
    <s v="TO PROVIDE SOCIAL SERVICES"/>
    <x v="8"/>
    <x v="14"/>
    <s v="Needs Review"/>
    <s v="High"/>
    <m/>
    <m/>
    <m/>
  </r>
  <r>
    <n v="9694901"/>
    <n v="9.6949010000000006E-3"/>
    <n v="200187043"/>
    <s v="ANGELS IN PARADISE INC"/>
    <s v="TO ASSIST THE MEMBERS OF THE COMMUNITY WITH PREEMPLOYMENT SKILLS, TRAINING, JOB SEARCH AND JOB PLACEMENT."/>
    <x v="7"/>
    <x v="12"/>
    <s v="Not Applicable / Non-health"/>
    <s v="High"/>
    <m/>
    <m/>
    <m/>
  </r>
  <r>
    <n v="9669959"/>
    <n v="9.6699590000000005E-3"/>
    <n v="411893463"/>
    <s v="CATHOLIC UNITED FINANCIAL FOUNDATION"/>
    <s v="TO SUPPORT FINANCIALLY THE SPIRITUAL, EDUCATIONAL AND SOCIAL NEEDS OF THE CATHOLIC COMMUNITY WHERE CATHOLIC UNITED FINANCIAL HAS A MAJOR PRESENCE."/>
    <x v="4"/>
    <x v="16"/>
    <s v="General Medical Area"/>
    <s v="High"/>
    <m/>
    <m/>
    <m/>
  </r>
  <r>
    <n v="9532106"/>
    <n v="9.5321060000000003E-3"/>
    <n v="271397124"/>
    <s v="THE ROSKAMP INSTITUTE INC"/>
    <s v="THE MISSION OF THE ROSKAMP INSTITUTE IS TO CONDUCT SCIENTIFIC RESEARCH TO DISCOVER SAFE AND EFFECTIVE NEW DRUG THERAPIES TO SUCCESSFULLY TREAT DISEASES OF THE MIND AND TO PROMOTE HEALTHY AGING."/>
    <x v="3"/>
    <x v="3"/>
    <s v="General Medical Area"/>
    <s v="High"/>
    <s v=" DISEASES OF THE MIND  ROMOTE HEALTHY AGING"/>
    <m/>
    <m/>
  </r>
  <r>
    <n v="9470389"/>
    <n v="9.4703889999999992E-3"/>
    <n v="943148303"/>
    <s v="HOMEBASE"/>
    <s v="A NON-PROFIT DEDICATED TO THE SOCIAL PROBLEM OF HOMELESSNESS."/>
    <x v="7"/>
    <x v="12"/>
    <s v="Not Applicable / Non-health"/>
    <s v="High"/>
    <m/>
    <m/>
    <m/>
  </r>
  <r>
    <n v="9420937"/>
    <n v="9.4209370000000008E-3"/>
    <n v="311491083"/>
    <s v="MARGARET AND ROBERT WALTER FOUNDATION"/>
    <s v="THE PURPOSE OF THE FOUNDATION IS TO SUPPORT CHARITABLE ORGANIZATIONS WHICH BENEFIT THE COMMUNITY."/>
    <x v="7"/>
    <x v="12"/>
    <s v="Not Applicable / Non-health"/>
    <s v="High"/>
    <m/>
    <m/>
    <m/>
  </r>
  <r>
    <n v="9412032"/>
    <n v="9.4120320000000007E-3"/>
    <n v="363832205"/>
    <s v="AMERICAN ASSOCIATION OF HIP &amp; KNEE"/>
    <s v="TO ADVANCE HIP AND KNEE PATIENT CARE THROUGH EDUCATION, ADVOCACY, RESEARCH AND ADVOCACY."/>
    <x v="4"/>
    <x v="15"/>
    <s v="General Medical Area"/>
    <s v="High"/>
    <s v=" HIP AND KNEE PATIENT"/>
    <m/>
    <m/>
  </r>
  <r>
    <n v="9372870"/>
    <n v="9.3728700000000002E-3"/>
    <n v="450672514"/>
    <s v="USAGAINSTALZHEIMER'S"/>
    <s v="SEE PART III, LINE 1."/>
    <x v="8"/>
    <x v="14"/>
    <s v="Needs Review"/>
    <s v="High"/>
    <m/>
    <m/>
    <m/>
  </r>
  <r>
    <n v="9025350"/>
    <n v="9.0253499999999997E-3"/>
    <n v="911316838"/>
    <s v="Boyer Children's Clinic"/>
    <s v="see Schedule O"/>
    <x v="8"/>
    <x v="14"/>
    <s v="Needs Review"/>
    <s v="High"/>
    <m/>
    <m/>
    <m/>
  </r>
  <r>
    <n v="8820986"/>
    <n v="8.8209859999999994E-3"/>
    <n v="530115900"/>
    <s v="American Coatings Association Inc"/>
    <s v="To advance the needs of the paint and coatings industry and the professionals who work in it."/>
    <x v="7"/>
    <x v="12"/>
    <m/>
    <m/>
    <m/>
    <m/>
    <m/>
  </r>
  <r>
    <n v="8686132"/>
    <n v="8.6861319999999992E-3"/>
    <n v="363166049"/>
    <s v="ARTHROSCOPY ASSOCIATION OF NORTH AMERICA"/>
    <s v="THE ASSOCIATION IS DEDICATED TO ADVANCING MINIMALLY INVASIVE SURGICAL EDUCATION, ADVOCACY AND SKILLS ASSESSMENT TO IMPROVE PATIENT CARE."/>
    <x v="4"/>
    <x v="15"/>
    <s v="General Medical Area"/>
    <s v="High"/>
    <s v="MINIMALLY INVASIVE SURGICAL "/>
    <m/>
    <m/>
  </r>
  <r>
    <n v="8185238"/>
    <n v="8.1852379999999992E-3"/>
    <n v="742898888"/>
    <s v="ST DAVID'S FOUNDATION COMMUNITY FUND"/>
    <s v="PROVIDES NEEDS-BASED SCHOLARSHIPS TO STUDENTS PURSUING HEALTHCARE (SEE SCHEDULE O)CAREERS AND CONTROLS HEALTHCARE FACILITIES."/>
    <x v="1"/>
    <x v="6"/>
    <s v="Not Applicable / Non-health"/>
    <s v="High"/>
    <m/>
    <m/>
    <m/>
  </r>
  <r>
    <n v="8181480"/>
    <n v="8.1814799999999997E-3"/>
    <n v="480840415"/>
    <s v="RIORDAN CLINIC INC"/>
    <s v="TO PROVIDE MEDICAL RESEARCH AND EDUCATION AND TO SERVE IN WAYS THAT IMPROVE ONES WELL-BEING."/>
    <x v="3"/>
    <x v="3"/>
    <s v="Activity-based / Indirect"/>
    <s v="High"/>
    <m/>
    <m/>
    <m/>
  </r>
  <r>
    <n v="8155014"/>
    <n v="8.1550140000000004E-3"/>
    <n v="821663503"/>
    <s v="HOUSECALL PROVIDERS PC"/>
    <s v="IMPROVING LIVES BY BRINGING HEALTH CARE HOME"/>
    <x v="2"/>
    <x v="2"/>
    <s v="Not Applicable / Non-health"/>
    <s v="High"/>
    <m/>
    <m/>
    <m/>
  </r>
  <r>
    <n v="8115909"/>
    <n v="8.1159089999999993E-3"/>
    <n v="821672519"/>
    <s v="NF FORWARD"/>
    <s v="THE MISSION OF NF FORWARD IS TO ADVANCE RESEARCH TOWARD A CURE FOR NEUROFIBROMATOSIS (&quot;NF&quot;) AND TO EXPAND AND IMPROVE TREATMENT OPTIONS FOR THOSE WITH NF AND RELATED DISORDERS."/>
    <x v="3"/>
    <x v="3"/>
    <s v="Disease-specific (Dictionary Needed)"/>
    <s v="High"/>
    <s v="NEUROFIBROMATOSIS"/>
    <m/>
    <m/>
  </r>
  <r>
    <n v="8090466"/>
    <n v="8.0904659999999993E-3"/>
    <n v="851408588"/>
    <s v="TRANSIT EMPLOYEES RETIREE HEALTH FUND"/>
    <s v="TO PROVIDE RETIREE HEALTH BENEFITS TO RETIRED EMPLOYEES OF THE WMATA AND THEIR DEPENDENTS."/>
    <x v="6"/>
    <x v="11"/>
    <s v="Not Applicable / Non-health"/>
    <s v="High"/>
    <m/>
    <m/>
    <m/>
  </r>
  <r>
    <n v="7954948"/>
    <n v="7.9549479999999999E-3"/>
    <n v="871876876"/>
    <s v="THE POLG FOUNDATION INC"/>
    <s v="SUPPORT RESEARCH TO FIND TREATMENTS AND A CURE FOR POLG-RELATED MITOCHONDRIAL DISORDERS."/>
    <x v="3"/>
    <x v="3"/>
    <s v="Disease-specific (Dictionary Needed)"/>
    <s v="High"/>
    <s v="POLG-RELATED MITOCHONDRIAL DISORDERS"/>
    <m/>
    <m/>
  </r>
  <r>
    <n v="7590095"/>
    <n v="7.5900949999999998E-3"/>
    <n v="581537967"/>
    <s v="AID ATLANTA INC"/>
    <s v="see Schedule O"/>
    <x v="8"/>
    <x v="14"/>
    <s v="Needs Review"/>
    <s v="High"/>
    <m/>
    <m/>
    <m/>
  </r>
  <r>
    <n v="7544372"/>
    <n v="7.5443719999999997E-3"/>
    <n v="131950856"/>
    <s v="THE AMERICAN GERIATRICS SOCIETY"/>
    <s v="TO IMPROVE THE HEALTH, INDEPENDENCE, AND QUALITY OF LIFE OF ALL OLDER PEOPLE."/>
    <x v="8"/>
    <x v="14"/>
    <s v="General Medical Area"/>
    <s v="High"/>
    <s v=" "/>
    <m/>
    <m/>
  </r>
  <r>
    <n v="7515913"/>
    <n v="7.5159129999999999E-3"/>
    <n v="756027740"/>
    <s v="BROTHER BILLS HELPING HAND"/>
    <s v="BROTHER BILL'S HELPING HAND MINISTERS TO THE DALLAS COMMUNITY BY ENSURING THE ESSENTIALS OF LIFE, EMPOWERING THROUGH LEARNING, AND ENRICHING RELATIONSHIPS THROUGH FAITH, FAMILY, FITNESS, AND FINANCE."/>
    <x v="7"/>
    <x v="12"/>
    <s v="Not Applicable / Non-health"/>
    <s v="High"/>
    <m/>
    <m/>
    <m/>
  </r>
  <r>
    <n v="7428706"/>
    <n v="7.4287060000000002E-3"/>
    <n v="43169620"/>
    <s v="CHILDREN'S DYSLEXIA CENTERS INC"/>
    <s v="TREATMENT OF LEARNING DISABILITIES IN CHILDREN"/>
    <x v="2"/>
    <x v="2"/>
    <s v="Disease-specific (Dictionary Needed)"/>
    <s v="High"/>
    <s v=" LEARNING DISABILITIES "/>
    <m/>
    <m/>
  </r>
  <r>
    <n v="7370167"/>
    <n v="7.3701670000000004E-3"/>
    <n v="30344168"/>
    <s v="The Vermont-Oxford Network"/>
    <s v="To improve the quality and safety of medical care for newborn infants and their families."/>
    <x v="2"/>
    <x v="2"/>
    <s v="Activity-based / Indirect"/>
    <s v="High"/>
    <s v="  medical care for newborn infants  "/>
    <m/>
    <m/>
  </r>
  <r>
    <n v="7333168"/>
    <n v="7.3331680000000002E-3"/>
    <n v="208376689"/>
    <s v="THE ABRAHAM J AND PHYLLIS KATZ CORD"/>
    <s v="THE ORGANIZATION'S VISION STATEMENT: A WORLD IN WHICH CORD BLOOD THERAPIES ENHANCE QUALITY OF LIFE FOR ALL.THE ORGANIZATION'S CORE VALUES ARE QUALITY, COLLABORATION, INNOVATION, LEADERSHIP, COMPASSION, AND INTEGRITY."/>
    <x v="2"/>
    <x v="2"/>
    <s v="Activity-based / Indirect"/>
    <s v="High"/>
    <m/>
    <m/>
    <m/>
  </r>
  <r>
    <n v="7260831"/>
    <n v="7.2608309999999997E-3"/>
    <n v="463032063"/>
    <s v="THE FOUNDATION FOR EMBRYONIC COMPETENCE"/>
    <s v="THE FOUNDATION FOR EMBRYONIC COMPETENCE, INC., FORMERLY KNOWN AS &quot; THE FOUNDATION FOR THE ASSESSMENT AND ENHANCEMENT OF EMBRYONIC COMPETENCE, INC.&quot; (FOUNDATION) IS A NEW JERSEY NON-PROFIT CORPORATION, INCORPORATED IN 2013. THE FOUNDATION'S ACTIVITIES ARE CONDUCTED AT ITS SOLE LOCATION, 140 ALLEN ROAD IN BASKING RIDGE, NEW JERSEY. THE MISSION OF THE FOUNDATION IS ADVANCING KNOWLEDGE AND ENHANCING OUTCOMES IN EMBRYONIC RESEARCH, DIAGNOSIS, AND EDUCATION."/>
    <x v="3"/>
    <x v="3"/>
    <s v="Activity-based / Indirect"/>
    <s v="High"/>
    <s v="EMBRYONIC RESEARCH"/>
    <m/>
    <m/>
  </r>
  <r>
    <n v="7141177"/>
    <n v="7.1411770000000003E-3"/>
    <n v="830249753"/>
    <s v="Central Wyoming Hospice &amp; Transitions"/>
    <s v="To companion the end of life journey and loss with skill and compassion."/>
    <x v="7"/>
    <x v="12"/>
    <s v="Not Applicable / Non-health"/>
    <s v="High"/>
    <m/>
    <m/>
    <m/>
  </r>
  <r>
    <n v="7131173"/>
    <n v="7.1311730000000002E-3"/>
    <n v="237286648"/>
    <s v="American Brain Tumor Association"/>
    <s v="SEE ATTACHMENT 1"/>
    <x v="8"/>
    <x v="14"/>
    <s v="Needs Review"/>
    <s v="High"/>
    <m/>
    <m/>
    <m/>
  </r>
  <r>
    <n v="7080134"/>
    <n v="7.0801340000000001E-3"/>
    <n v="731682844"/>
    <s v="KEEP A CHILD ALIVE INC"/>
    <s v="TO HELP CHILDREN AND YOUNG PEOPLE REACH THEIR POTENTIAL AND LIVE HEALTHIER, HAPPIER LIVES."/>
    <x v="7"/>
    <x v="12"/>
    <s v="Not Applicable / Non-health"/>
    <s v="High"/>
    <m/>
    <m/>
    <m/>
  </r>
  <r>
    <n v="6999341"/>
    <n v="6.9993410000000001E-3"/>
    <n v="421630116"/>
    <s v="SARA'S GARDEN"/>
    <s v="TO PROVIDE SPECIALIZED EDUCATION, INTERVENTION AND HYBERBARIC SERVICES. THROUGH THESE INNOVATIVE SERVICES WE HAVE BEEN ABLE TO HELP CHILDREN AND ADULTS WITH DISABILITIES AND CONDITIONS DEVELOP, GROW, AND ACHIEVE GREATER"/>
    <x v="4"/>
    <x v="16"/>
    <s v="General Medical Area"/>
    <s v="Medium"/>
    <m/>
    <m/>
    <m/>
  </r>
  <r>
    <n v="6948355"/>
    <n v="6.9483549999999998E-3"/>
    <n v="362210012"/>
    <s v="INTERNATIONAL ASSOCIATION OF ASSESSING"/>
    <s v="PROMOTE INNOVATION AND EXCELLENCE IN PROPERTY APPRAISAL, ASSESSMENT, (SEE SCHEDULE O) ADMINISTRATION, AND PROPERTY TAX POLICY THROUGH PROFESSIONAL DEVELOPMENT, EDUCATION, RESEARCH, AND TECHNICAL ASSISTANCE."/>
    <x v="7"/>
    <x v="12"/>
    <s v="Not Applicable / Non-health"/>
    <s v="High"/>
    <m/>
    <m/>
    <m/>
  </r>
  <r>
    <n v="6860753"/>
    <n v="6.8607529999999998E-3"/>
    <n v="237416302"/>
    <s v="INTERNATIONAL ASSOCIATION FOR THE"/>
    <s v="SEE PART III, LINE 1."/>
    <x v="8"/>
    <x v="14"/>
    <s v="Needs Review"/>
    <s v="Mediu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A0870-454F-4C73-9022-72AE4F7BB5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ain Theme/ Org. Type">
  <location ref="B3:C49" firstHeaderRow="1" firstDataRow="1" firstDataCol="1"/>
  <pivotFields count="12">
    <pivotField numFmtId="3" showAll="0"/>
    <pivotField dataField="1" numFmtId="3" showAll="0"/>
    <pivotField showAll="0"/>
    <pivotField showAll="0"/>
    <pivotField showAll="0"/>
    <pivotField axis="axisRow" showAll="0">
      <items count="10">
        <item x="4"/>
        <item x="6"/>
        <item x="0"/>
        <item x="1"/>
        <item x="3"/>
        <item x="8"/>
        <item x="7"/>
        <item x="2"/>
        <item x="5"/>
        <item t="default"/>
      </items>
    </pivotField>
    <pivotField axis="axisRow" showAll="0">
      <items count="22">
        <item x="1"/>
        <item x="9"/>
        <item x="17"/>
        <item x="16"/>
        <item x="11"/>
        <item x="18"/>
        <item x="20"/>
        <item x="6"/>
        <item x="13"/>
        <item x="14"/>
        <item x="12"/>
        <item x="10"/>
        <item x="15"/>
        <item x="0"/>
        <item x="2"/>
        <item x="4"/>
        <item x="5"/>
        <item x="7"/>
        <item x="8"/>
        <item x="3"/>
        <item x="19"/>
        <item t="default"/>
      </items>
    </pivotField>
    <pivotField showAll="0"/>
    <pivotField showAll="0"/>
    <pivotField showAll="0"/>
    <pivotField showAll="0"/>
    <pivotField showAll="0"/>
  </pivotFields>
  <rowFields count="2">
    <field x="5"/>
    <field x="6"/>
  </rowFields>
  <rowItems count="46">
    <i>
      <x/>
    </i>
    <i r="1">
      <x v="3"/>
    </i>
    <i r="1">
      <x v="5"/>
    </i>
    <i r="1">
      <x v="7"/>
    </i>
    <i r="1">
      <x v="12"/>
    </i>
    <i r="1">
      <x v="16"/>
    </i>
    <i r="1">
      <x v="20"/>
    </i>
    <i>
      <x v="1"/>
    </i>
    <i r="1">
      <x v="4"/>
    </i>
    <i r="1">
      <x v="16"/>
    </i>
    <i>
      <x v="2"/>
    </i>
    <i r="1">
      <x v="4"/>
    </i>
    <i r="1">
      <x v="6"/>
    </i>
    <i r="1">
      <x v="11"/>
    </i>
    <i r="1">
      <x v="13"/>
    </i>
    <i r="1">
      <x v="19"/>
    </i>
    <i>
      <x v="3"/>
    </i>
    <i r="1">
      <x/>
    </i>
    <i r="1">
      <x v="1"/>
    </i>
    <i r="1">
      <x v="2"/>
    </i>
    <i r="1">
      <x v="5"/>
    </i>
    <i r="1">
      <x v="7"/>
    </i>
    <i r="1">
      <x v="8"/>
    </i>
    <i r="1">
      <x v="9"/>
    </i>
    <i r="1">
      <x v="14"/>
    </i>
    <i r="1">
      <x v="15"/>
    </i>
    <i r="1">
      <x v="19"/>
    </i>
    <i>
      <x v="4"/>
    </i>
    <i r="1">
      <x/>
    </i>
    <i r="1">
      <x v="3"/>
    </i>
    <i r="1">
      <x v="6"/>
    </i>
    <i r="1">
      <x v="12"/>
    </i>
    <i r="1">
      <x v="18"/>
    </i>
    <i r="1">
      <x v="19"/>
    </i>
    <i>
      <x v="5"/>
    </i>
    <i r="1">
      <x v="9"/>
    </i>
    <i>
      <x v="6"/>
    </i>
    <i r="1">
      <x v="10"/>
    </i>
    <i>
      <x v="7"/>
    </i>
    <i r="1">
      <x v="3"/>
    </i>
    <i r="1">
      <x v="7"/>
    </i>
    <i r="1">
      <x v="12"/>
    </i>
    <i r="1">
      <x v="14"/>
    </i>
    <i>
      <x v="8"/>
    </i>
    <i r="1">
      <x v="17"/>
    </i>
    <i t="grand">
      <x/>
    </i>
  </rowItems>
  <colItems count="1">
    <i/>
  </colItems>
  <dataFields count="1">
    <dataField name=" Revenue" fld="1" baseField="0" baseItem="0" numFmtId="164"/>
  </dataFields>
  <formats count="3">
    <format dxfId="13">
      <pivotArea dataOnly="0" labelOnly="1" outline="0" axis="axisValues" fieldPosition="0"/>
    </format>
    <format dxfId="12">
      <pivotArea outline="0" collapsedLevelsAreSubtotals="1" fieldPosition="0"/>
    </format>
    <format dxfId="11">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B2F38F-9ACF-4709-AA5E-2FD4E1FD53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ain Theme/ Org. Type">
  <location ref="A3:B8" firstHeaderRow="1" firstDataRow="1" firstDataCol="1"/>
  <pivotFields count="12">
    <pivotField numFmtId="3" showAll="0"/>
    <pivotField dataField="1" numFmtId="3" showAll="0"/>
    <pivotField showAll="0"/>
    <pivotField showAll="0"/>
    <pivotField showAll="0"/>
    <pivotField axis="axisRow" showAll="0">
      <items count="10">
        <item x="4"/>
        <item x="6"/>
        <item x="0"/>
        <item h="1" x="1"/>
        <item h="1" x="3"/>
        <item h="1" x="8"/>
        <item x="7"/>
        <item h="1" x="2"/>
        <item h="1" x="5"/>
        <item t="default"/>
      </items>
    </pivotField>
    <pivotField showAll="0">
      <items count="22">
        <item x="1"/>
        <item x="9"/>
        <item x="17"/>
        <item x="16"/>
        <item x="11"/>
        <item x="18"/>
        <item x="20"/>
        <item x="6"/>
        <item x="13"/>
        <item x="14"/>
        <item x="12"/>
        <item x="10"/>
        <item x="15"/>
        <item x="0"/>
        <item x="2"/>
        <item x="4"/>
        <item x="5"/>
        <item x="7"/>
        <item x="8"/>
        <item x="3"/>
        <item x="19"/>
        <item t="default"/>
      </items>
    </pivotField>
    <pivotField showAll="0"/>
    <pivotField showAll="0"/>
    <pivotField showAll="0"/>
    <pivotField showAll="0"/>
    <pivotField showAll="0"/>
  </pivotFields>
  <rowFields count="1">
    <field x="5"/>
  </rowFields>
  <rowItems count="5">
    <i>
      <x/>
    </i>
    <i>
      <x v="1"/>
    </i>
    <i>
      <x v="2"/>
    </i>
    <i>
      <x v="6"/>
    </i>
    <i t="grand">
      <x/>
    </i>
  </rowItems>
  <colItems count="1">
    <i/>
  </colItems>
  <dataFields count="1">
    <dataField name=" Revenue" fld="1" baseField="0" baseItem="0" numFmtId="164"/>
  </dataFields>
  <formats count="3">
    <format dxfId="8">
      <pivotArea dataOnly="0" labelOnly="1" outline="0" axis="axisValues" fieldPosition="0"/>
    </format>
    <format dxfId="7">
      <pivotArea outline="0" collapsedLevelsAreSubtotals="1" fieldPosition="0"/>
    </format>
    <format dxfId="6">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assificationTable" displayName="ClassificationTable" ref="A1:L111">
  <autoFilter ref="A1:L111" xr:uid="{00000000-000C-0000-FFFF-FFFF00000000}"/>
  <tableColumns count="12">
    <tableColumn id="1" xr3:uid="{00000000-0010-0000-0000-000001000000}" name="MRevenue"/>
    <tableColumn id="12" xr3:uid="{EC946F0B-D913-4C36-9437-875C0E347FED}" name="Revenue" dataDxfId="10" dataCellStyle="Comma">
      <calculatedColumnFormula>ClassificationTable[[#This Row],[MRevenue]]/1000000000</calculatedColumnFormula>
    </tableColumn>
    <tableColumn id="2" xr3:uid="{00000000-0010-0000-0000-000002000000}" name="extract_ein"/>
    <tableColumn id="11" xr3:uid="{DE7ECA75-5BC8-4BE0-84BD-DEADD1ED1FC6}" name="extract_name" dataDxfId="9"/>
    <tableColumn id="3" xr3:uid="{00000000-0010-0000-0000-000003000000}" name="Org_mission"/>
    <tableColumn id="4" xr3:uid="{00000000-0010-0000-0000-000004000000}" name="Main Theme"/>
    <tableColumn id="5" xr3:uid="{00000000-0010-0000-0000-000005000000}" name="Organization Type"/>
    <tableColumn id="6" xr3:uid="{00000000-0010-0000-0000-000006000000}" name="DALY Mapping Status"/>
    <tableColumn id="7" xr3:uid="{00000000-0010-0000-0000-000007000000}" name="Confidence"/>
    <tableColumn id="8" xr3:uid="{00000000-0010-0000-0000-000008000000}" name="Notes"/>
    <tableColumn id="9" xr3:uid="{00000000-0010-0000-0000-000009000000}" name="Reviewer"/>
    <tableColumn id="10" xr3:uid="{00000000-0010-0000-0000-00000A000000}" name="Review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initionsTable" displayName="DefinitionsTable" ref="A1:C6">
  <tableColumns count="3">
    <tableColumn id="1" xr3:uid="{00000000-0010-0000-0100-000001000000}" name="Field"/>
    <tableColumn id="2" xr3:uid="{00000000-0010-0000-0100-000002000000}" name="Purpose"/>
    <tableColumn id="3" xr3:uid="{00000000-0010-0000-0100-000003000000}" name="Guida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39755-E89D-413A-99C1-D96FC12E8DC3}">
  <dimension ref="B3:D49"/>
  <sheetViews>
    <sheetView rightToLeft="1" tabSelected="1" zoomScale="70" zoomScaleNormal="70" workbookViewId="0">
      <selection activeCell="B15" sqref="B15"/>
    </sheetView>
  </sheetViews>
  <sheetFormatPr defaultRowHeight="14"/>
  <cols>
    <col min="2" max="2" width="43.58203125" bestFit="1" customWidth="1"/>
    <col min="3" max="3" width="10.25" style="13" bestFit="1" customWidth="1"/>
    <col min="4" max="4" width="10.25" style="13" customWidth="1"/>
  </cols>
  <sheetData>
    <row r="3" spans="2:4">
      <c r="B3" s="10" t="s">
        <v>325</v>
      </c>
      <c r="C3" s="18" t="s">
        <v>327</v>
      </c>
      <c r="D3" s="18"/>
    </row>
    <row r="4" spans="2:4">
      <c r="B4" s="11" t="s">
        <v>28</v>
      </c>
      <c r="C4" s="19">
        <v>0.59063262900000002</v>
      </c>
      <c r="D4" s="19"/>
    </row>
    <row r="5" spans="2:4">
      <c r="B5" s="12" t="s">
        <v>61</v>
      </c>
      <c r="C5" s="19">
        <v>8.1931740000000017E-2</v>
      </c>
      <c r="D5" s="19"/>
    </row>
    <row r="6" spans="2:4">
      <c r="B6" s="12" t="s">
        <v>100</v>
      </c>
      <c r="C6" s="19">
        <v>3.5579201999999997E-2</v>
      </c>
      <c r="D6" s="19"/>
    </row>
    <row r="7" spans="2:4">
      <c r="B7" s="12" t="s">
        <v>44</v>
      </c>
      <c r="C7" s="19">
        <v>9.7184276E-2</v>
      </c>
      <c r="D7" s="19"/>
    </row>
    <row r="8" spans="2:4">
      <c r="B8" s="12" t="s">
        <v>55</v>
      </c>
      <c r="C8" s="19">
        <v>1.8098164E-2</v>
      </c>
      <c r="D8" s="19"/>
    </row>
    <row r="9" spans="2:4">
      <c r="B9" s="12" t="s">
        <v>29</v>
      </c>
      <c r="C9" s="19">
        <v>0.31946678500000003</v>
      </c>
      <c r="D9" s="19"/>
    </row>
    <row r="10" spans="2:4">
      <c r="B10" s="12" t="s">
        <v>190</v>
      </c>
      <c r="C10" s="19">
        <v>3.8372461999999996E-2</v>
      </c>
      <c r="D10" s="19"/>
    </row>
    <row r="11" spans="2:4">
      <c r="B11" s="11" t="s">
        <v>46</v>
      </c>
      <c r="C11" s="19">
        <v>0.20773660799999999</v>
      </c>
      <c r="D11" s="19"/>
    </row>
    <row r="12" spans="2:4">
      <c r="B12" s="12" t="s">
        <v>47</v>
      </c>
      <c r="C12" s="19">
        <v>0.19613766299999999</v>
      </c>
      <c r="D12" s="19"/>
    </row>
    <row r="13" spans="2:4">
      <c r="B13" s="12" t="s">
        <v>29</v>
      </c>
      <c r="C13" s="19">
        <v>1.1598944999999999E-2</v>
      </c>
      <c r="D13" s="19"/>
    </row>
    <row r="14" spans="2:4">
      <c r="B14" s="11" t="s">
        <v>153</v>
      </c>
      <c r="C14" s="19">
        <v>2.929608698</v>
      </c>
      <c r="D14" s="19"/>
    </row>
    <row r="15" spans="2:4">
      <c r="B15" s="12" t="s">
        <v>47</v>
      </c>
      <c r="C15" s="19">
        <v>4.7870560999999999E-2</v>
      </c>
      <c r="D15" s="19"/>
    </row>
    <row r="16" spans="2:4">
      <c r="B16" s="12" t="s">
        <v>142</v>
      </c>
      <c r="C16" s="19">
        <v>4.5645767999999996E-2</v>
      </c>
      <c r="D16" s="19"/>
    </row>
    <row r="17" spans="2:4">
      <c r="B17" s="12" t="s">
        <v>42</v>
      </c>
      <c r="C17" s="19">
        <v>0.12554396100000001</v>
      </c>
      <c r="D17" s="19"/>
    </row>
    <row r="18" spans="2:4">
      <c r="B18" s="12" t="s">
        <v>12</v>
      </c>
      <c r="C18" s="19">
        <v>2.6864394730000001</v>
      </c>
      <c r="D18" s="19"/>
    </row>
    <row r="19" spans="2:4">
      <c r="B19" s="12" t="s">
        <v>24</v>
      </c>
      <c r="C19" s="19">
        <v>2.4108935000000001E-2</v>
      </c>
      <c r="D19" s="19"/>
    </row>
    <row r="20" spans="2:4">
      <c r="B20" s="11" t="s">
        <v>16</v>
      </c>
      <c r="C20" s="19">
        <v>1.708799688</v>
      </c>
      <c r="D20" s="19"/>
    </row>
    <row r="21" spans="2:4">
      <c r="B21" s="12" t="s">
        <v>17</v>
      </c>
      <c r="C21" s="19">
        <v>0.93316642999999999</v>
      </c>
      <c r="D21" s="19"/>
    </row>
    <row r="22" spans="2:4">
      <c r="B22" s="12" t="s">
        <v>40</v>
      </c>
      <c r="C22" s="19">
        <v>0.16127202100000002</v>
      </c>
      <c r="D22" s="19"/>
    </row>
    <row r="23" spans="2:4">
      <c r="B23" s="12" t="s">
        <v>150</v>
      </c>
      <c r="C23" s="19">
        <v>0.109577785</v>
      </c>
      <c r="D23" s="19"/>
    </row>
    <row r="24" spans="2:4">
      <c r="B24" s="12" t="s">
        <v>100</v>
      </c>
      <c r="C24" s="19">
        <v>1.2475884E-2</v>
      </c>
      <c r="D24" s="19"/>
    </row>
    <row r="25" spans="2:4">
      <c r="B25" s="12" t="s">
        <v>44</v>
      </c>
      <c r="C25" s="19">
        <v>2.8732804000000001E-2</v>
      </c>
      <c r="D25" s="19"/>
    </row>
    <row r="26" spans="2:4">
      <c r="B26" s="12" t="s">
        <v>154</v>
      </c>
      <c r="C26" s="19">
        <v>5.8837464999999999E-2</v>
      </c>
      <c r="D26" s="19"/>
    </row>
    <row r="27" spans="2:4">
      <c r="B27" s="12" t="s">
        <v>32</v>
      </c>
      <c r="C27" s="19">
        <v>5.3956249999999997E-2</v>
      </c>
      <c r="D27" s="19"/>
    </row>
    <row r="28" spans="2:4">
      <c r="B28" s="12" t="s">
        <v>19</v>
      </c>
      <c r="C28" s="19">
        <v>2.8408497000000001E-2</v>
      </c>
      <c r="D28" s="19"/>
    </row>
    <row r="29" spans="2:4">
      <c r="B29" s="12" t="s">
        <v>26</v>
      </c>
      <c r="C29" s="19">
        <v>0.30489431099999997</v>
      </c>
      <c r="D29" s="19"/>
    </row>
    <row r="30" spans="2:4">
      <c r="B30" s="12" t="s">
        <v>24</v>
      </c>
      <c r="C30" s="19">
        <v>1.7478240999999999E-2</v>
      </c>
      <c r="D30" s="19"/>
    </row>
    <row r="31" spans="2:4">
      <c r="B31" s="11" t="s">
        <v>23</v>
      </c>
      <c r="C31" s="19">
        <v>0.85142465899999997</v>
      </c>
      <c r="D31" s="19"/>
    </row>
    <row r="32" spans="2:4">
      <c r="B32" s="12" t="s">
        <v>17</v>
      </c>
      <c r="C32" s="19">
        <v>5.5810421999999998E-2</v>
      </c>
      <c r="D32" s="19"/>
    </row>
    <row r="33" spans="2:4">
      <c r="B33" s="12" t="s">
        <v>61</v>
      </c>
      <c r="C33" s="19">
        <v>5.0802964999999999E-2</v>
      </c>
      <c r="D33" s="19"/>
    </row>
    <row r="34" spans="2:4">
      <c r="B34" s="12" t="s">
        <v>142</v>
      </c>
      <c r="C34" s="19">
        <v>1.1042911000000001E-2</v>
      </c>
      <c r="D34" s="19"/>
    </row>
    <row r="35" spans="2:4">
      <c r="B35" s="12" t="s">
        <v>55</v>
      </c>
      <c r="C35" s="19">
        <v>7.0627987000000003E-2</v>
      </c>
      <c r="D35" s="19"/>
    </row>
    <row r="36" spans="2:4">
      <c r="B36" s="12" t="s">
        <v>38</v>
      </c>
      <c r="C36" s="19">
        <v>0.136817092</v>
      </c>
      <c r="D36" s="19"/>
    </row>
    <row r="37" spans="2:4">
      <c r="B37" s="12" t="s">
        <v>24</v>
      </c>
      <c r="C37" s="19">
        <v>0.526323282</v>
      </c>
      <c r="D37" s="19"/>
    </row>
    <row r="38" spans="2:4">
      <c r="B38" s="11" t="s">
        <v>32</v>
      </c>
      <c r="C38" s="19">
        <v>0.25796308499999998</v>
      </c>
      <c r="D38" s="19"/>
    </row>
    <row r="39" spans="2:4">
      <c r="B39" s="12" t="s">
        <v>32</v>
      </c>
      <c r="C39" s="19">
        <v>0.25796308499999998</v>
      </c>
      <c r="D39" s="19"/>
    </row>
    <row r="40" spans="2:4">
      <c r="B40" s="11" t="s">
        <v>88</v>
      </c>
      <c r="C40" s="19">
        <v>0.32801982200000002</v>
      </c>
      <c r="D40" s="19"/>
    </row>
    <row r="41" spans="2:4">
      <c r="B41" s="12" t="s">
        <v>89</v>
      </c>
      <c r="C41" s="19">
        <v>0.32801982200000002</v>
      </c>
      <c r="D41" s="19"/>
    </row>
    <row r="42" spans="2:4">
      <c r="B42" s="11" t="s">
        <v>11</v>
      </c>
      <c r="C42" s="19">
        <v>1.0655110859999999</v>
      </c>
      <c r="D42" s="19"/>
    </row>
    <row r="43" spans="2:4">
      <c r="B43" s="12" t="s">
        <v>61</v>
      </c>
      <c r="C43" s="19">
        <v>1.3468545E-2</v>
      </c>
      <c r="D43" s="19"/>
    </row>
    <row r="44" spans="2:4">
      <c r="B44" s="12" t="s">
        <v>44</v>
      </c>
      <c r="C44" s="19">
        <v>0.21438509</v>
      </c>
      <c r="D44" s="19"/>
    </row>
    <row r="45" spans="2:4">
      <c r="B45" s="12" t="s">
        <v>55</v>
      </c>
      <c r="C45" s="19">
        <v>3.7488580999999993E-2</v>
      </c>
      <c r="D45" s="19"/>
    </row>
    <row r="46" spans="2:4">
      <c r="B46" s="12" t="s">
        <v>19</v>
      </c>
      <c r="C46" s="19">
        <v>0.80016886999999992</v>
      </c>
      <c r="D46" s="19"/>
    </row>
    <row r="47" spans="2:4">
      <c r="B47" s="11" t="s">
        <v>35</v>
      </c>
      <c r="C47" s="19">
        <v>0.16976462000000003</v>
      </c>
      <c r="D47" s="19"/>
    </row>
    <row r="48" spans="2:4">
      <c r="B48" s="12" t="s">
        <v>36</v>
      </c>
      <c r="C48" s="19">
        <v>0.16976462000000003</v>
      </c>
      <c r="D48" s="19"/>
    </row>
    <row r="49" spans="2:4">
      <c r="B49" s="11" t="s">
        <v>324</v>
      </c>
      <c r="C49" s="19">
        <v>8.1094608949999998</v>
      </c>
      <c r="D49" s="19"/>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1"/>
  <sheetViews>
    <sheetView rightToLeft="1" zoomScaleNormal="100" workbookViewId="0">
      <selection activeCell="D2" sqref="D2"/>
    </sheetView>
  </sheetViews>
  <sheetFormatPr defaultRowHeight="14"/>
  <cols>
    <col min="1" max="1" width="16" customWidth="1"/>
    <col min="2" max="2" width="16" style="14" customWidth="1"/>
    <col min="3" max="4" width="14" customWidth="1"/>
    <col min="5" max="5" width="60" customWidth="1"/>
    <col min="6" max="9" width="30" customWidth="1"/>
    <col min="10" max="10" width="42" customWidth="1"/>
    <col min="11" max="12" width="16" customWidth="1"/>
  </cols>
  <sheetData>
    <row r="1" spans="1:12">
      <c r="A1" s="1" t="s">
        <v>326</v>
      </c>
      <c r="B1" s="15" t="s">
        <v>0</v>
      </c>
      <c r="C1" s="1" t="s">
        <v>1</v>
      </c>
      <c r="D1" s="1" t="s">
        <v>323</v>
      </c>
      <c r="E1" s="1" t="s">
        <v>2</v>
      </c>
      <c r="F1" s="1" t="s">
        <v>3</v>
      </c>
      <c r="G1" s="1" t="s">
        <v>4</v>
      </c>
      <c r="H1" s="1" t="s">
        <v>5</v>
      </c>
      <c r="I1" s="1" t="s">
        <v>6</v>
      </c>
      <c r="J1" s="1" t="s">
        <v>7</v>
      </c>
      <c r="K1" s="1" t="s">
        <v>8</v>
      </c>
      <c r="L1" s="1" t="s">
        <v>9</v>
      </c>
    </row>
    <row r="2" spans="1:12" ht="84">
      <c r="A2" s="3">
        <v>2686439473</v>
      </c>
      <c r="B2" s="16">
        <f>ClassificationTable[[#This Row],[MRevenue]]/1000000000</f>
        <v>2.6864394730000001</v>
      </c>
      <c r="C2" s="2">
        <v>223850021</v>
      </c>
      <c r="D2" s="2" t="s">
        <v>214</v>
      </c>
      <c r="E2" s="2" t="s">
        <v>10</v>
      </c>
      <c r="F2" s="2" t="s">
        <v>153</v>
      </c>
      <c r="G2" s="2" t="s">
        <v>12</v>
      </c>
      <c r="H2" s="2" t="s">
        <v>13</v>
      </c>
      <c r="I2" s="2" t="s">
        <v>14</v>
      </c>
      <c r="J2" s="2"/>
      <c r="K2" s="2"/>
      <c r="L2" s="2"/>
    </row>
    <row r="3" spans="1:12" ht="98">
      <c r="A3" s="3">
        <v>811129070</v>
      </c>
      <c r="B3" s="16">
        <f>ClassificationTable[[#This Row],[MRevenue]]/1000000000</f>
        <v>0.81112907000000001</v>
      </c>
      <c r="C3" s="2">
        <v>251925187</v>
      </c>
      <c r="D3" s="2" t="s">
        <v>215</v>
      </c>
      <c r="E3" s="2" t="s">
        <v>15</v>
      </c>
      <c r="F3" s="2" t="s">
        <v>16</v>
      </c>
      <c r="G3" s="2" t="s">
        <v>17</v>
      </c>
      <c r="H3" s="2" t="s">
        <v>13</v>
      </c>
      <c r="I3" s="2" t="s">
        <v>14</v>
      </c>
      <c r="J3" s="2"/>
      <c r="K3" s="2"/>
      <c r="L3" s="2"/>
    </row>
    <row r="4" spans="1:12" ht="70">
      <c r="A4" s="3">
        <v>684615118</v>
      </c>
      <c r="B4" s="16">
        <f>ClassificationTable[[#This Row],[MRevenue]]/1000000000</f>
        <v>0.68461511799999997</v>
      </c>
      <c r="C4" s="2">
        <v>161513923</v>
      </c>
      <c r="D4" s="2" t="s">
        <v>216</v>
      </c>
      <c r="E4" s="2" t="s">
        <v>18</v>
      </c>
      <c r="F4" s="2" t="s">
        <v>11</v>
      </c>
      <c r="G4" s="2" t="s">
        <v>19</v>
      </c>
      <c r="H4" s="2" t="s">
        <v>20</v>
      </c>
      <c r="I4" s="2" t="s">
        <v>21</v>
      </c>
      <c r="J4" s="2"/>
      <c r="K4" s="2"/>
      <c r="L4" s="2"/>
    </row>
    <row r="5" spans="1:12" ht="70">
      <c r="A5" s="3">
        <v>288276013</v>
      </c>
      <c r="B5" s="16">
        <f>ClassificationTable[[#This Row],[MRevenue]]/1000000000</f>
        <v>0.288276013</v>
      </c>
      <c r="C5" s="2">
        <v>953432210</v>
      </c>
      <c r="D5" s="2" t="s">
        <v>217</v>
      </c>
      <c r="E5" s="2" t="s">
        <v>22</v>
      </c>
      <c r="F5" s="2" t="s">
        <v>23</v>
      </c>
      <c r="G5" s="2" t="s">
        <v>24</v>
      </c>
      <c r="H5" s="2" t="s">
        <v>13</v>
      </c>
      <c r="I5" s="2" t="s">
        <v>14</v>
      </c>
      <c r="J5" s="2"/>
      <c r="K5" s="2"/>
      <c r="L5" s="2"/>
    </row>
    <row r="6" spans="1:12" ht="70">
      <c r="A6" s="3">
        <v>281440113</v>
      </c>
      <c r="B6" s="16">
        <f>ClassificationTable[[#This Row],[MRevenue]]/1000000000</f>
        <v>0.28144011299999999</v>
      </c>
      <c r="C6" s="2">
        <v>50389801</v>
      </c>
      <c r="D6" s="2" t="s">
        <v>218</v>
      </c>
      <c r="E6" s="2" t="s">
        <v>25</v>
      </c>
      <c r="F6" s="2" t="s">
        <v>16</v>
      </c>
      <c r="G6" s="2" t="s">
        <v>26</v>
      </c>
      <c r="H6" s="2" t="s">
        <v>13</v>
      </c>
      <c r="I6" s="2" t="s">
        <v>14</v>
      </c>
      <c r="J6" s="2"/>
      <c r="K6" s="2"/>
      <c r="L6" s="2"/>
    </row>
    <row r="7" spans="1:12" ht="56">
      <c r="A7" s="3">
        <v>267500979</v>
      </c>
      <c r="B7" s="16">
        <f>ClassificationTable[[#This Row],[MRevenue]]/1000000000</f>
        <v>0.26750097900000003</v>
      </c>
      <c r="C7" s="2">
        <v>362118323</v>
      </c>
      <c r="D7" s="2" t="s">
        <v>219</v>
      </c>
      <c r="E7" s="2" t="s">
        <v>27</v>
      </c>
      <c r="F7" s="2" t="s">
        <v>28</v>
      </c>
      <c r="G7" s="2" t="s">
        <v>29</v>
      </c>
      <c r="H7" s="2" t="s">
        <v>30</v>
      </c>
      <c r="I7" s="2" t="s">
        <v>14</v>
      </c>
      <c r="J7" s="2"/>
      <c r="K7" s="2"/>
      <c r="L7" s="2"/>
    </row>
    <row r="8" spans="1:12" ht="56">
      <c r="A8" s="3">
        <v>214385090</v>
      </c>
      <c r="B8" s="16">
        <f>ClassificationTable[[#This Row],[MRevenue]]/1000000000</f>
        <v>0.21438509</v>
      </c>
      <c r="C8" s="2">
        <v>363279680</v>
      </c>
      <c r="D8" s="2" t="s">
        <v>220</v>
      </c>
      <c r="E8" s="2" t="s">
        <v>31</v>
      </c>
      <c r="F8" s="2" t="s">
        <v>11</v>
      </c>
      <c r="G8" s="2" t="s">
        <v>44</v>
      </c>
      <c r="H8" s="2" t="s">
        <v>30</v>
      </c>
      <c r="I8" s="2" t="s">
        <v>14</v>
      </c>
      <c r="J8" s="2"/>
      <c r="K8" s="2"/>
      <c r="L8" s="2"/>
    </row>
    <row r="9" spans="1:12" ht="42">
      <c r="A9" s="3">
        <v>144774821</v>
      </c>
      <c r="B9" s="16">
        <f>ClassificationTable[[#This Row],[MRevenue]]/1000000000</f>
        <v>0.144774821</v>
      </c>
      <c r="C9" s="2">
        <v>237203666</v>
      </c>
      <c r="D9" s="2" t="s">
        <v>221</v>
      </c>
      <c r="E9" s="2" t="s">
        <v>33</v>
      </c>
      <c r="F9" s="2" t="s">
        <v>23</v>
      </c>
      <c r="G9" s="2" t="s">
        <v>24</v>
      </c>
      <c r="H9" s="2" t="s">
        <v>13</v>
      </c>
      <c r="I9" s="2" t="s">
        <v>14</v>
      </c>
      <c r="J9" s="2"/>
      <c r="K9" s="2"/>
      <c r="L9" s="2"/>
    </row>
    <row r="10" spans="1:12" ht="98">
      <c r="A10" s="3">
        <v>141435105</v>
      </c>
      <c r="B10" s="16">
        <f>ClassificationTable[[#This Row],[MRevenue]]/1000000000</f>
        <v>0.14143510500000001</v>
      </c>
      <c r="C10" s="2">
        <v>50539199</v>
      </c>
      <c r="D10" s="2" t="s">
        <v>222</v>
      </c>
      <c r="E10" s="2" t="s">
        <v>34</v>
      </c>
      <c r="F10" s="2" t="s">
        <v>35</v>
      </c>
      <c r="G10" s="2" t="s">
        <v>36</v>
      </c>
      <c r="H10" s="2" t="s">
        <v>13</v>
      </c>
      <c r="I10" s="2" t="s">
        <v>14</v>
      </c>
      <c r="J10" s="2"/>
      <c r="K10" s="2"/>
      <c r="L10" s="2"/>
    </row>
    <row r="11" spans="1:12" ht="56">
      <c r="A11" s="3">
        <v>136817092</v>
      </c>
      <c r="B11" s="16">
        <f>ClassificationTable[[#This Row],[MRevenue]]/1000000000</f>
        <v>0.136817092</v>
      </c>
      <c r="C11" s="2">
        <v>112673595</v>
      </c>
      <c r="D11" s="2" t="s">
        <v>223</v>
      </c>
      <c r="E11" s="2" t="s">
        <v>37</v>
      </c>
      <c r="F11" s="2" t="s">
        <v>23</v>
      </c>
      <c r="G11" s="2" t="s">
        <v>38</v>
      </c>
      <c r="H11" s="2" t="s">
        <v>13</v>
      </c>
      <c r="I11" s="2" t="s">
        <v>14</v>
      </c>
      <c r="J11" s="2"/>
      <c r="K11" s="2"/>
      <c r="L11" s="2"/>
    </row>
    <row r="12" spans="1:12" ht="56">
      <c r="A12" s="3">
        <v>129974948</v>
      </c>
      <c r="B12" s="16">
        <f>ClassificationTable[[#This Row],[MRevenue]]/1000000000</f>
        <v>0.12997494800000001</v>
      </c>
      <c r="C12" s="2">
        <v>464150987</v>
      </c>
      <c r="D12" s="2" t="s">
        <v>224</v>
      </c>
      <c r="E12" s="2" t="s">
        <v>39</v>
      </c>
      <c r="F12" s="2" t="s">
        <v>16</v>
      </c>
      <c r="G12" s="2" t="s">
        <v>40</v>
      </c>
      <c r="H12" s="2" t="s">
        <v>13</v>
      </c>
      <c r="I12" s="2" t="s">
        <v>14</v>
      </c>
      <c r="J12" s="2"/>
      <c r="K12" s="2"/>
      <c r="L12" s="2"/>
    </row>
    <row r="13" spans="1:12" ht="56">
      <c r="A13" s="3">
        <v>125543961</v>
      </c>
      <c r="B13" s="16">
        <f>ClassificationTable[[#This Row],[MRevenue]]/1000000000</f>
        <v>0.12554396100000001</v>
      </c>
      <c r="C13" s="2">
        <v>237388767</v>
      </c>
      <c r="D13" s="2" t="s">
        <v>225</v>
      </c>
      <c r="E13" s="2" t="s">
        <v>41</v>
      </c>
      <c r="F13" s="2" t="s">
        <v>153</v>
      </c>
      <c r="G13" s="2" t="s">
        <v>42</v>
      </c>
      <c r="H13" s="2" t="s">
        <v>30</v>
      </c>
      <c r="I13" s="2" t="s">
        <v>14</v>
      </c>
      <c r="J13" s="2" t="s">
        <v>176</v>
      </c>
      <c r="K13" s="2"/>
      <c r="L13" s="2"/>
    </row>
    <row r="14" spans="1:12" ht="84">
      <c r="A14" s="3">
        <v>122037360</v>
      </c>
      <c r="B14" s="16">
        <f>ClassificationTable[[#This Row],[MRevenue]]/1000000000</f>
        <v>0.12203736</v>
      </c>
      <c r="C14" s="2">
        <v>42702169</v>
      </c>
      <c r="D14" s="2" t="s">
        <v>226</v>
      </c>
      <c r="E14" s="2" t="s">
        <v>43</v>
      </c>
      <c r="F14" s="2" t="s">
        <v>16</v>
      </c>
      <c r="G14" s="2" t="s">
        <v>17</v>
      </c>
      <c r="H14" s="2" t="s">
        <v>13</v>
      </c>
      <c r="I14" s="2" t="s">
        <v>14</v>
      </c>
      <c r="J14" s="2"/>
      <c r="K14" s="2"/>
      <c r="L14" s="2"/>
    </row>
    <row r="15" spans="1:12" ht="70">
      <c r="A15" s="3">
        <v>108315323</v>
      </c>
      <c r="B15" s="16">
        <f>ClassificationTable[[#This Row],[MRevenue]]/1000000000</f>
        <v>0.10831532300000001</v>
      </c>
      <c r="C15" s="2">
        <v>465054207</v>
      </c>
      <c r="D15" s="2" t="s">
        <v>227</v>
      </c>
      <c r="E15" s="2" t="s">
        <v>45</v>
      </c>
      <c r="F15" s="2" t="s">
        <v>46</v>
      </c>
      <c r="G15" s="2" t="s">
        <v>47</v>
      </c>
      <c r="H15" s="2" t="s">
        <v>13</v>
      </c>
      <c r="I15" s="2" t="s">
        <v>14</v>
      </c>
      <c r="J15" s="2"/>
      <c r="K15" s="2"/>
      <c r="L15" s="2"/>
    </row>
    <row r="16" spans="1:12" ht="84">
      <c r="A16" s="3">
        <v>97184276</v>
      </c>
      <c r="B16" s="16">
        <f>ClassificationTable[[#This Row],[MRevenue]]/1000000000</f>
        <v>9.7184276E-2</v>
      </c>
      <c r="C16" s="2">
        <v>43320640</v>
      </c>
      <c r="D16" s="2" t="s">
        <v>228</v>
      </c>
      <c r="E16" s="2" t="s">
        <v>48</v>
      </c>
      <c r="F16" s="2" t="s">
        <v>28</v>
      </c>
      <c r="G16" s="2" t="s">
        <v>44</v>
      </c>
      <c r="H16" s="2" t="s">
        <v>30</v>
      </c>
      <c r="I16" s="2" t="s">
        <v>14</v>
      </c>
      <c r="J16" s="2" t="s">
        <v>174</v>
      </c>
      <c r="K16" s="2"/>
      <c r="L16" s="2"/>
    </row>
    <row r="17" spans="1:12" ht="56">
      <c r="A17" s="3">
        <v>79731874</v>
      </c>
      <c r="B17" s="16">
        <f>ClassificationTable[[#This Row],[MRevenue]]/1000000000</f>
        <v>7.9731873999999994E-2</v>
      </c>
      <c r="C17" s="2">
        <v>980041019</v>
      </c>
      <c r="D17" s="2" t="s">
        <v>229</v>
      </c>
      <c r="E17" s="2" t="s">
        <v>49</v>
      </c>
      <c r="F17" s="2" t="s">
        <v>46</v>
      </c>
      <c r="G17" s="2" t="s">
        <v>47</v>
      </c>
      <c r="H17" s="2" t="s">
        <v>13</v>
      </c>
      <c r="I17" s="2" t="s">
        <v>14</v>
      </c>
      <c r="K17" s="2"/>
      <c r="L17" s="2"/>
    </row>
    <row r="18" spans="1:12" ht="42">
      <c r="A18" s="3">
        <v>64881149</v>
      </c>
      <c r="B18" s="16">
        <f>ClassificationTable[[#This Row],[MRevenue]]/1000000000</f>
        <v>6.4881148999999999E-2</v>
      </c>
      <c r="C18" s="2">
        <v>363689171</v>
      </c>
      <c r="D18" s="2" t="s">
        <v>230</v>
      </c>
      <c r="E18" s="2" t="s">
        <v>50</v>
      </c>
      <c r="F18" s="2" t="s">
        <v>88</v>
      </c>
      <c r="G18" s="2" t="s">
        <v>89</v>
      </c>
      <c r="H18" s="2" t="s">
        <v>90</v>
      </c>
      <c r="I18" s="2" t="s">
        <v>14</v>
      </c>
      <c r="J18" s="2"/>
      <c r="K18" s="2"/>
      <c r="L18" s="2"/>
    </row>
    <row r="19" spans="1:12" ht="28">
      <c r="A19" s="3">
        <v>58837465</v>
      </c>
      <c r="B19" s="16">
        <f>ClassificationTable[[#This Row],[MRevenue]]/1000000000</f>
        <v>5.8837464999999999E-2</v>
      </c>
      <c r="C19" s="2">
        <v>752641151</v>
      </c>
      <c r="D19" s="2" t="s">
        <v>231</v>
      </c>
      <c r="E19" s="2" t="s">
        <v>51</v>
      </c>
      <c r="F19" s="2" t="s">
        <v>16</v>
      </c>
      <c r="G19" s="2" t="s">
        <v>154</v>
      </c>
      <c r="H19" s="2" t="s">
        <v>13</v>
      </c>
      <c r="I19" s="2" t="s">
        <v>14</v>
      </c>
      <c r="J19" s="2"/>
      <c r="K19" s="2"/>
      <c r="L19" s="2"/>
    </row>
    <row r="20" spans="1:12" ht="56">
      <c r="A20" s="3">
        <v>55810422</v>
      </c>
      <c r="B20" s="16">
        <f>ClassificationTable[[#This Row],[MRevenue]]/1000000000</f>
        <v>5.5810421999999998E-2</v>
      </c>
      <c r="C20" s="2">
        <v>411677920</v>
      </c>
      <c r="D20" s="2" t="s">
        <v>232</v>
      </c>
      <c r="E20" s="2" t="s">
        <v>52</v>
      </c>
      <c r="F20" s="2" t="s">
        <v>23</v>
      </c>
      <c r="G20" s="2" t="s">
        <v>17</v>
      </c>
      <c r="H20" s="2" t="s">
        <v>13</v>
      </c>
      <c r="I20" s="2" t="s">
        <v>14</v>
      </c>
      <c r="J20" s="2"/>
      <c r="K20" s="2"/>
      <c r="L20" s="2"/>
    </row>
    <row r="21" spans="1:12" ht="42">
      <c r="A21" s="3">
        <v>53956250</v>
      </c>
      <c r="B21" s="16">
        <f>ClassificationTable[[#This Row],[MRevenue]]/1000000000</f>
        <v>5.3956249999999997E-2</v>
      </c>
      <c r="C21" s="2">
        <v>721283359</v>
      </c>
      <c r="D21" s="2" t="s">
        <v>233</v>
      </c>
      <c r="E21" s="2" t="s">
        <v>53</v>
      </c>
      <c r="F21" s="2" t="s">
        <v>16</v>
      </c>
      <c r="G21" s="2" t="s">
        <v>32</v>
      </c>
      <c r="H21" s="2" t="s">
        <v>32</v>
      </c>
      <c r="I21" s="2" t="s">
        <v>21</v>
      </c>
      <c r="J21" s="2"/>
      <c r="K21" s="2"/>
      <c r="L21" s="2"/>
    </row>
    <row r="22" spans="1:12" ht="70">
      <c r="A22" s="3">
        <v>52477819</v>
      </c>
      <c r="B22" s="16">
        <f>ClassificationTable[[#This Row],[MRevenue]]/1000000000</f>
        <v>5.2477819000000002E-2</v>
      </c>
      <c r="C22" s="2">
        <v>263160079</v>
      </c>
      <c r="D22" s="2" t="s">
        <v>234</v>
      </c>
      <c r="E22" s="2" t="s">
        <v>54</v>
      </c>
      <c r="F22" s="2" t="s">
        <v>23</v>
      </c>
      <c r="G22" s="2" t="s">
        <v>55</v>
      </c>
      <c r="H22" s="2" t="s">
        <v>20</v>
      </c>
      <c r="I22" s="2" t="s">
        <v>14</v>
      </c>
      <c r="J22" s="2" t="s">
        <v>175</v>
      </c>
      <c r="K22" s="2"/>
      <c r="L22" s="2"/>
    </row>
    <row r="23" spans="1:12" ht="70">
      <c r="A23" s="3">
        <v>52398042</v>
      </c>
      <c r="B23" s="16">
        <f>ClassificationTable[[#This Row],[MRevenue]]/1000000000</f>
        <v>5.2398041999999999E-2</v>
      </c>
      <c r="C23" s="2">
        <v>362181944</v>
      </c>
      <c r="D23" s="2" t="s">
        <v>235</v>
      </c>
      <c r="E23" s="2" t="s">
        <v>56</v>
      </c>
      <c r="F23" s="2" t="s">
        <v>28</v>
      </c>
      <c r="G23" s="2" t="s">
        <v>61</v>
      </c>
      <c r="H23" s="2" t="s">
        <v>13</v>
      </c>
      <c r="I23" s="2" t="s">
        <v>14</v>
      </c>
      <c r="J23" s="2" t="s">
        <v>177</v>
      </c>
      <c r="K23" s="2"/>
      <c r="L23" s="2"/>
    </row>
    <row r="24" spans="1:12" ht="70">
      <c r="A24" s="3">
        <v>51711930</v>
      </c>
      <c r="B24" s="16">
        <f>ClassificationTable[[#This Row],[MRevenue]]/1000000000</f>
        <v>5.1711930000000003E-2</v>
      </c>
      <c r="C24" s="2">
        <v>270614861</v>
      </c>
      <c r="D24" s="2" t="s">
        <v>236</v>
      </c>
      <c r="E24" s="2" t="s">
        <v>57</v>
      </c>
      <c r="F24" s="2" t="s">
        <v>16</v>
      </c>
      <c r="G24" s="2" t="s">
        <v>150</v>
      </c>
      <c r="H24" s="2" t="s">
        <v>30</v>
      </c>
      <c r="I24" s="2" t="s">
        <v>14</v>
      </c>
      <c r="J24" s="2" t="s">
        <v>178</v>
      </c>
      <c r="K24" s="2"/>
      <c r="L24" s="2"/>
    </row>
    <row r="25" spans="1:12" ht="56">
      <c r="A25" s="3">
        <v>47870561</v>
      </c>
      <c r="B25" s="16">
        <f>ClassificationTable[[#This Row],[MRevenue]]/1000000000</f>
        <v>4.7870560999999999E-2</v>
      </c>
      <c r="C25" s="2">
        <v>521006053</v>
      </c>
      <c r="D25" s="2" t="s">
        <v>237</v>
      </c>
      <c r="E25" s="2" t="s">
        <v>58</v>
      </c>
      <c r="F25" s="2" t="s">
        <v>153</v>
      </c>
      <c r="G25" s="2" t="s">
        <v>47</v>
      </c>
      <c r="H25" s="2" t="s">
        <v>13</v>
      </c>
      <c r="I25" s="2" t="s">
        <v>14</v>
      </c>
      <c r="J25" s="2" t="s">
        <v>179</v>
      </c>
      <c r="K25" s="2"/>
      <c r="L25" s="2"/>
    </row>
    <row r="26" spans="1:12" ht="84">
      <c r="A26" s="3">
        <v>47789496</v>
      </c>
      <c r="B26" s="16">
        <f>ClassificationTable[[#This Row],[MRevenue]]/1000000000</f>
        <v>4.7789496000000001E-2</v>
      </c>
      <c r="C26" s="2">
        <v>753065445</v>
      </c>
      <c r="D26" s="2" t="s">
        <v>238</v>
      </c>
      <c r="E26" s="2" t="s">
        <v>59</v>
      </c>
      <c r="F26" s="2" t="s">
        <v>32</v>
      </c>
      <c r="G26" s="2" t="s">
        <v>32</v>
      </c>
      <c r="H26" s="2" t="s">
        <v>32</v>
      </c>
      <c r="I26" s="2" t="s">
        <v>21</v>
      </c>
      <c r="J26" s="2"/>
      <c r="K26" s="2"/>
      <c r="L26" s="2"/>
    </row>
    <row r="27" spans="1:12" ht="42">
      <c r="A27" s="3">
        <v>47496866</v>
      </c>
      <c r="B27" s="16">
        <f>ClassificationTable[[#This Row],[MRevenue]]/1000000000</f>
        <v>4.7496865999999999E-2</v>
      </c>
      <c r="C27" s="2">
        <v>952706764</v>
      </c>
      <c r="D27" s="2" t="s">
        <v>239</v>
      </c>
      <c r="E27" s="2" t="s">
        <v>60</v>
      </c>
      <c r="F27" s="2" t="s">
        <v>88</v>
      </c>
      <c r="G27" s="2" t="s">
        <v>89</v>
      </c>
      <c r="H27" s="2" t="s">
        <v>90</v>
      </c>
      <c r="I27" s="2" t="s">
        <v>14</v>
      </c>
      <c r="J27" s="2"/>
      <c r="K27" s="2"/>
      <c r="L27" s="2"/>
    </row>
    <row r="28" spans="1:12" ht="56">
      <c r="A28" s="3">
        <v>44438427</v>
      </c>
      <c r="B28" s="16">
        <f>ClassificationTable[[#This Row],[MRevenue]]/1000000000</f>
        <v>4.4438427000000003E-2</v>
      </c>
      <c r="C28" s="2">
        <v>231417504</v>
      </c>
      <c r="D28" s="2" t="s">
        <v>240</v>
      </c>
      <c r="E28" s="2" t="s">
        <v>62</v>
      </c>
      <c r="F28" s="2" t="s">
        <v>32</v>
      </c>
      <c r="G28" s="2" t="s">
        <v>32</v>
      </c>
      <c r="H28" s="2" t="s">
        <v>32</v>
      </c>
      <c r="I28" s="2" t="s">
        <v>14</v>
      </c>
      <c r="J28" s="2"/>
      <c r="K28" s="2"/>
      <c r="L28" s="2"/>
    </row>
    <row r="29" spans="1:12" ht="42">
      <c r="A29" s="3">
        <v>43206329</v>
      </c>
      <c r="B29" s="16">
        <f>ClassificationTable[[#This Row],[MRevenue]]/1000000000</f>
        <v>4.3206329000000002E-2</v>
      </c>
      <c r="C29" s="2">
        <v>521122122</v>
      </c>
      <c r="D29" s="2" t="s">
        <v>241</v>
      </c>
      <c r="E29" s="2" t="s">
        <v>63</v>
      </c>
      <c r="F29" s="2" t="s">
        <v>32</v>
      </c>
      <c r="G29" s="2" t="s">
        <v>32</v>
      </c>
      <c r="H29" s="2" t="s">
        <v>32</v>
      </c>
      <c r="I29" s="2" t="s">
        <v>14</v>
      </c>
      <c r="J29" s="2"/>
      <c r="K29" s="2"/>
      <c r="L29" s="2"/>
    </row>
    <row r="30" spans="1:12" ht="28">
      <c r="A30" s="3">
        <v>39488811</v>
      </c>
      <c r="B30" s="16">
        <f>ClassificationTable[[#This Row],[MRevenue]]/1000000000</f>
        <v>3.9488810999999999E-2</v>
      </c>
      <c r="C30" s="2">
        <v>111821135</v>
      </c>
      <c r="D30" s="2" t="s">
        <v>242</v>
      </c>
      <c r="E30" s="2" t="s">
        <v>64</v>
      </c>
      <c r="F30" s="2" t="s">
        <v>88</v>
      </c>
      <c r="G30" s="2" t="s">
        <v>89</v>
      </c>
      <c r="H30" s="2" t="s">
        <v>90</v>
      </c>
      <c r="I30" s="2" t="s">
        <v>14</v>
      </c>
      <c r="J30" s="2"/>
      <c r="K30" s="2"/>
      <c r="L30" s="2"/>
    </row>
    <row r="31" spans="1:12" ht="56">
      <c r="A31" s="3">
        <v>38199006</v>
      </c>
      <c r="B31" s="16">
        <f>ClassificationTable[[#This Row],[MRevenue]]/1000000000</f>
        <v>3.8199006000000001E-2</v>
      </c>
      <c r="C31" s="2">
        <v>410793046</v>
      </c>
      <c r="D31" s="2" t="s">
        <v>243</v>
      </c>
      <c r="E31" s="2" t="s">
        <v>65</v>
      </c>
      <c r="F31" s="2" t="s">
        <v>23</v>
      </c>
      <c r="G31" s="2" t="s">
        <v>61</v>
      </c>
      <c r="H31" s="2" t="s">
        <v>13</v>
      </c>
      <c r="I31" s="2" t="s">
        <v>14</v>
      </c>
      <c r="J31" s="2" t="s">
        <v>180</v>
      </c>
      <c r="K31" s="2"/>
      <c r="L31" s="2"/>
    </row>
    <row r="32" spans="1:12" ht="56">
      <c r="A32" s="3">
        <v>35579202</v>
      </c>
      <c r="B32" s="16">
        <f>ClassificationTable[[#This Row],[MRevenue]]/1000000000</f>
        <v>3.5579201999999997E-2</v>
      </c>
      <c r="C32" s="2">
        <v>430921226</v>
      </c>
      <c r="D32" s="2" t="s">
        <v>244</v>
      </c>
      <c r="E32" s="2" t="s">
        <v>66</v>
      </c>
      <c r="F32" s="2" t="s">
        <v>28</v>
      </c>
      <c r="G32" s="2" t="s">
        <v>100</v>
      </c>
      <c r="H32" s="2" t="s">
        <v>30</v>
      </c>
      <c r="I32" s="2" t="s">
        <v>21</v>
      </c>
      <c r="J32" s="2" t="s">
        <v>181</v>
      </c>
      <c r="K32" s="2"/>
      <c r="L32" s="2"/>
    </row>
    <row r="33" spans="1:12" ht="56">
      <c r="A33" s="3">
        <v>33233606</v>
      </c>
      <c r="B33" s="16">
        <f>ClassificationTable[[#This Row],[MRevenue]]/1000000000</f>
        <v>3.3233605999999999E-2</v>
      </c>
      <c r="C33" s="2">
        <v>131926775</v>
      </c>
      <c r="D33" s="2" t="s">
        <v>245</v>
      </c>
      <c r="E33" s="2" t="s">
        <v>67</v>
      </c>
      <c r="F33" s="2" t="s">
        <v>88</v>
      </c>
      <c r="G33" s="2" t="s">
        <v>89</v>
      </c>
      <c r="H33" s="2" t="s">
        <v>90</v>
      </c>
      <c r="I33" s="2" t="s">
        <v>14</v>
      </c>
      <c r="J33" s="2"/>
      <c r="K33" s="2"/>
      <c r="L33" s="2"/>
    </row>
    <row r="34" spans="1:12" ht="42">
      <c r="A34" s="3">
        <v>32055717</v>
      </c>
      <c r="B34" s="16">
        <f>ClassificationTable[[#This Row],[MRevenue]]/1000000000</f>
        <v>3.2055716999999997E-2</v>
      </c>
      <c r="C34" s="2">
        <v>363022713</v>
      </c>
      <c r="D34" s="2" t="s">
        <v>246</v>
      </c>
      <c r="E34" s="2" t="s">
        <v>69</v>
      </c>
      <c r="F34" s="2" t="s">
        <v>28</v>
      </c>
      <c r="G34" s="2" t="s">
        <v>29</v>
      </c>
      <c r="H34" s="2" t="s">
        <v>30</v>
      </c>
      <c r="I34" s="2" t="s">
        <v>14</v>
      </c>
      <c r="J34" s="2" t="s">
        <v>182</v>
      </c>
      <c r="K34" s="2"/>
      <c r="L34" s="2"/>
    </row>
    <row r="35" spans="1:12" ht="42">
      <c r="A35" s="3">
        <v>31297073</v>
      </c>
      <c r="B35" s="16">
        <f>ClassificationTable[[#This Row],[MRevenue]]/1000000000</f>
        <v>3.1297073000000002E-2</v>
      </c>
      <c r="C35" s="2">
        <v>453765330</v>
      </c>
      <c r="D35" s="2" t="s">
        <v>183</v>
      </c>
      <c r="E35" s="2" t="s">
        <v>70</v>
      </c>
      <c r="F35" s="2" t="s">
        <v>16</v>
      </c>
      <c r="G35" s="2" t="s">
        <v>40</v>
      </c>
      <c r="H35" s="2" t="s">
        <v>30</v>
      </c>
      <c r="I35" s="2" t="s">
        <v>14</v>
      </c>
      <c r="J35" s="2" t="s">
        <v>183</v>
      </c>
      <c r="K35" s="2"/>
      <c r="L35" s="2"/>
    </row>
    <row r="36" spans="1:12" ht="42">
      <c r="A36" s="3">
        <v>28408497</v>
      </c>
      <c r="B36" s="16">
        <f>ClassificationTable[[#This Row],[MRevenue]]/1000000000</f>
        <v>2.8408497000000001E-2</v>
      </c>
      <c r="C36" s="2">
        <v>911215715</v>
      </c>
      <c r="D36" s="2" t="s">
        <v>247</v>
      </c>
      <c r="E36" s="2" t="s">
        <v>71</v>
      </c>
      <c r="F36" s="2" t="s">
        <v>16</v>
      </c>
      <c r="G36" s="2" t="s">
        <v>19</v>
      </c>
      <c r="H36" s="2" t="s">
        <v>13</v>
      </c>
      <c r="I36" s="2" t="s">
        <v>14</v>
      </c>
      <c r="J36" s="2"/>
      <c r="K36" s="2"/>
      <c r="L36" s="2"/>
    </row>
    <row r="37" spans="1:12" ht="70">
      <c r="A37" s="3">
        <v>26952723</v>
      </c>
      <c r="B37" s="16">
        <f>ClassificationTable[[#This Row],[MRevenue]]/1000000000</f>
        <v>2.6952723000000001E-2</v>
      </c>
      <c r="C37" s="2">
        <v>161118058</v>
      </c>
      <c r="D37" s="2" t="s">
        <v>248</v>
      </c>
      <c r="E37" s="2" t="s">
        <v>72</v>
      </c>
      <c r="F37" s="2" t="s">
        <v>11</v>
      </c>
      <c r="G37" s="2" t="s">
        <v>19</v>
      </c>
      <c r="H37" s="2" t="s">
        <v>30</v>
      </c>
      <c r="I37" s="2" t="s">
        <v>14</v>
      </c>
      <c r="J37" s="2" t="s">
        <v>185</v>
      </c>
      <c r="K37" s="2"/>
      <c r="L37" s="2"/>
    </row>
    <row r="38" spans="1:12" ht="56">
      <c r="A38" s="3">
        <v>25785085</v>
      </c>
      <c r="B38" s="16">
        <f>ClassificationTable[[#This Row],[MRevenue]]/1000000000</f>
        <v>2.5785084999999999E-2</v>
      </c>
      <c r="C38" s="2">
        <v>820497771</v>
      </c>
      <c r="D38" s="2" t="s">
        <v>249</v>
      </c>
      <c r="E38" s="2" t="s">
        <v>73</v>
      </c>
      <c r="F38" s="2" t="s">
        <v>32</v>
      </c>
      <c r="G38" s="2" t="s">
        <v>32</v>
      </c>
      <c r="H38" s="2" t="s">
        <v>32</v>
      </c>
      <c r="I38" s="2" t="s">
        <v>14</v>
      </c>
      <c r="J38" s="2"/>
      <c r="K38" s="2"/>
      <c r="L38" s="2"/>
    </row>
    <row r="39" spans="1:12" ht="42">
      <c r="A39" s="3">
        <v>25591458</v>
      </c>
      <c r="B39" s="16">
        <f>ClassificationTable[[#This Row],[MRevenue]]/1000000000</f>
        <v>2.5591458000000001E-2</v>
      </c>
      <c r="C39" s="2">
        <v>237367533</v>
      </c>
      <c r="D39" s="2" t="s">
        <v>250</v>
      </c>
      <c r="E39" s="2" t="s">
        <v>74</v>
      </c>
      <c r="F39" s="2" t="s">
        <v>88</v>
      </c>
      <c r="G39" s="2" t="s">
        <v>89</v>
      </c>
      <c r="H39" s="2" t="s">
        <v>90</v>
      </c>
      <c r="I39" s="2" t="s">
        <v>14</v>
      </c>
      <c r="J39" s="2"/>
      <c r="K39" s="2"/>
      <c r="L39" s="2"/>
    </row>
    <row r="40" spans="1:12" ht="84">
      <c r="A40" s="3">
        <v>24314929</v>
      </c>
      <c r="B40" s="16">
        <f>ClassificationTable[[#This Row],[MRevenue]]/1000000000</f>
        <v>2.4314928999999999E-2</v>
      </c>
      <c r="C40" s="2">
        <v>43760551</v>
      </c>
      <c r="D40" s="2" t="s">
        <v>251</v>
      </c>
      <c r="E40" s="2" t="s">
        <v>75</v>
      </c>
      <c r="F40" s="2" t="s">
        <v>16</v>
      </c>
      <c r="G40" s="2" t="s">
        <v>150</v>
      </c>
      <c r="H40" s="2" t="s">
        <v>30</v>
      </c>
      <c r="I40" s="2" t="s">
        <v>14</v>
      </c>
      <c r="J40" s="6" t="s">
        <v>186</v>
      </c>
      <c r="K40" s="2"/>
      <c r="L40" s="2"/>
    </row>
    <row r="41" spans="1:12" ht="112">
      <c r="A41" s="3">
        <v>24108935</v>
      </c>
      <c r="B41" s="16">
        <f>ClassificationTable[[#This Row],[MRevenue]]/1000000000</f>
        <v>2.4108935000000001E-2</v>
      </c>
      <c r="C41" s="2">
        <v>900133592</v>
      </c>
      <c r="D41" s="2" t="s">
        <v>252</v>
      </c>
      <c r="E41" s="2" t="s">
        <v>76</v>
      </c>
      <c r="F41" s="2" t="s">
        <v>153</v>
      </c>
      <c r="G41" s="2" t="s">
        <v>24</v>
      </c>
      <c r="H41" s="2" t="s">
        <v>30</v>
      </c>
      <c r="I41" s="2" t="s">
        <v>14</v>
      </c>
      <c r="J41" s="2" t="s">
        <v>187</v>
      </c>
      <c r="K41" s="2"/>
      <c r="L41" s="2"/>
    </row>
    <row r="42" spans="1:12" ht="42">
      <c r="A42" s="3">
        <v>23783850</v>
      </c>
      <c r="B42" s="16">
        <f>ClassificationTable[[#This Row],[MRevenue]]/1000000000</f>
        <v>2.3783849999999999E-2</v>
      </c>
      <c r="C42" s="2">
        <v>571092940</v>
      </c>
      <c r="D42" s="2" t="s">
        <v>253</v>
      </c>
      <c r="E42" s="2" t="s">
        <v>77</v>
      </c>
      <c r="F42" s="2" t="s">
        <v>16</v>
      </c>
      <c r="G42" s="2" t="s">
        <v>150</v>
      </c>
      <c r="H42" s="2" t="s">
        <v>13</v>
      </c>
      <c r="I42" s="2" t="s">
        <v>14</v>
      </c>
      <c r="J42" s="2"/>
      <c r="K42" s="2"/>
      <c r="L42" s="2"/>
    </row>
    <row r="43" spans="1:12" ht="42">
      <c r="A43" s="3">
        <v>23454198</v>
      </c>
      <c r="B43" s="16">
        <f>ClassificationTable[[#This Row],[MRevenue]]/1000000000</f>
        <v>2.3454197999999999E-2</v>
      </c>
      <c r="C43" s="2">
        <v>453851008</v>
      </c>
      <c r="D43" s="2" t="s">
        <v>254</v>
      </c>
      <c r="E43" s="2" t="s">
        <v>78</v>
      </c>
      <c r="F43" s="2" t="s">
        <v>16</v>
      </c>
      <c r="G43" s="2" t="s">
        <v>26</v>
      </c>
      <c r="H43" s="2" t="s">
        <v>30</v>
      </c>
      <c r="I43" s="2" t="s">
        <v>14</v>
      </c>
      <c r="J43" s="2" t="s">
        <v>188</v>
      </c>
      <c r="K43" s="2"/>
      <c r="L43" s="2"/>
    </row>
    <row r="44" spans="1:12" ht="98">
      <c r="A44" s="3">
        <v>21587195</v>
      </c>
      <c r="B44" s="16">
        <f>ClassificationTable[[#This Row],[MRevenue]]/1000000000</f>
        <v>2.1587195E-2</v>
      </c>
      <c r="C44" s="2">
        <v>383203030</v>
      </c>
      <c r="D44" s="2" t="s">
        <v>255</v>
      </c>
      <c r="E44" s="2" t="s">
        <v>79</v>
      </c>
      <c r="F44" s="2" t="s">
        <v>88</v>
      </c>
      <c r="G44" s="2" t="s">
        <v>89</v>
      </c>
      <c r="H44" s="2" t="s">
        <v>90</v>
      </c>
      <c r="I44" s="2" t="s">
        <v>14</v>
      </c>
      <c r="J44" s="2"/>
      <c r="K44" s="2"/>
      <c r="L44" s="2"/>
    </row>
    <row r="45" spans="1:12" ht="56">
      <c r="A45" s="3">
        <v>20547566</v>
      </c>
      <c r="B45" s="16">
        <f>ClassificationTable[[#This Row],[MRevenue]]/1000000000</f>
        <v>2.0547566E-2</v>
      </c>
      <c r="C45" s="2">
        <v>411801967</v>
      </c>
      <c r="D45" s="2" t="s">
        <v>256</v>
      </c>
      <c r="E45" s="2" t="s">
        <v>80</v>
      </c>
      <c r="F45" s="2" t="s">
        <v>16</v>
      </c>
      <c r="G45" s="2" t="s">
        <v>44</v>
      </c>
      <c r="H45" s="2" t="s">
        <v>13</v>
      </c>
      <c r="I45" s="2" t="s">
        <v>14</v>
      </c>
      <c r="J45" s="2"/>
      <c r="K45" s="2"/>
      <c r="L45" s="2"/>
    </row>
    <row r="46" spans="1:12" ht="112">
      <c r="A46" s="3">
        <v>18558316</v>
      </c>
      <c r="B46" s="16">
        <f>ClassificationTable[[#This Row],[MRevenue]]/1000000000</f>
        <v>1.8558315999999998E-2</v>
      </c>
      <c r="C46" s="2">
        <v>590637822</v>
      </c>
      <c r="D46" s="2" t="s">
        <v>257</v>
      </c>
      <c r="E46" s="2" t="s">
        <v>81</v>
      </c>
      <c r="F46" s="2" t="s">
        <v>11</v>
      </c>
      <c r="G46" s="2" t="s">
        <v>19</v>
      </c>
      <c r="H46" s="2" t="s">
        <v>30</v>
      </c>
      <c r="I46" s="2" t="s">
        <v>14</v>
      </c>
      <c r="J46" s="2" t="s">
        <v>189</v>
      </c>
      <c r="K46" s="2"/>
      <c r="L46" s="2"/>
    </row>
    <row r="47" spans="1:12" ht="28">
      <c r="A47" s="3">
        <v>18363438</v>
      </c>
      <c r="B47" s="16">
        <f>ClassificationTable[[#This Row],[MRevenue]]/1000000000</f>
        <v>1.8363437999999999E-2</v>
      </c>
      <c r="C47" s="2">
        <v>841588357</v>
      </c>
      <c r="D47" s="2" t="s">
        <v>258</v>
      </c>
      <c r="E47" s="2" t="s">
        <v>82</v>
      </c>
      <c r="F47" s="2" t="s">
        <v>88</v>
      </c>
      <c r="G47" s="2" t="s">
        <v>89</v>
      </c>
      <c r="H47" s="2" t="s">
        <v>13</v>
      </c>
      <c r="I47" s="2" t="s">
        <v>14</v>
      </c>
      <c r="J47" s="2"/>
      <c r="K47" s="2"/>
      <c r="L47" s="2"/>
    </row>
    <row r="48" spans="1:12" ht="42">
      <c r="A48" s="3">
        <v>18356752</v>
      </c>
      <c r="B48" s="16">
        <f>ClassificationTable[[#This Row],[MRevenue]]/1000000000</f>
        <v>1.8356752E-2</v>
      </c>
      <c r="C48" s="2">
        <v>410773787</v>
      </c>
      <c r="D48" s="2" t="s">
        <v>259</v>
      </c>
      <c r="E48" s="2" t="s">
        <v>83</v>
      </c>
      <c r="F48" s="2" t="s">
        <v>28</v>
      </c>
      <c r="G48" s="2" t="s">
        <v>190</v>
      </c>
      <c r="H48" s="2" t="s">
        <v>90</v>
      </c>
      <c r="I48" s="2" t="s">
        <v>14</v>
      </c>
      <c r="J48" s="2"/>
      <c r="K48" s="2"/>
      <c r="L48" s="2"/>
    </row>
    <row r="49" spans="1:12" ht="98">
      <c r="A49" s="3">
        <v>18150168</v>
      </c>
      <c r="B49" s="16">
        <f>ClassificationTable[[#This Row],[MRevenue]]/1000000000</f>
        <v>1.8150168000000001E-2</v>
      </c>
      <c r="C49" s="2">
        <v>135641857</v>
      </c>
      <c r="D49" s="2" t="s">
        <v>260</v>
      </c>
      <c r="E49" s="2" t="s">
        <v>84</v>
      </c>
      <c r="F49" s="2" t="s">
        <v>23</v>
      </c>
      <c r="G49" s="2" t="s">
        <v>55</v>
      </c>
      <c r="H49" s="2" t="s">
        <v>13</v>
      </c>
      <c r="I49" s="2" t="s">
        <v>14</v>
      </c>
      <c r="J49" s="2"/>
      <c r="K49" s="2"/>
      <c r="L49" s="2"/>
    </row>
    <row r="50" spans="1:12" ht="42">
      <c r="A50" s="3">
        <v>17713511</v>
      </c>
      <c r="B50" s="16">
        <f>ClassificationTable[[#This Row],[MRevenue]]/1000000000</f>
        <v>1.7713511000000001E-2</v>
      </c>
      <c r="C50" s="2">
        <v>812927460</v>
      </c>
      <c r="D50" s="2" t="s">
        <v>261</v>
      </c>
      <c r="E50" s="2" t="s">
        <v>85</v>
      </c>
      <c r="F50" s="2" t="s">
        <v>35</v>
      </c>
      <c r="G50" s="2" t="s">
        <v>36</v>
      </c>
      <c r="H50" s="2" t="s">
        <v>13</v>
      </c>
      <c r="I50" s="2" t="s">
        <v>14</v>
      </c>
      <c r="J50" s="2"/>
      <c r="K50" s="2"/>
      <c r="L50" s="2"/>
    </row>
    <row r="51" spans="1:12" ht="56">
      <c r="A51" s="3">
        <v>17478241</v>
      </c>
      <c r="B51" s="16">
        <f>ClassificationTable[[#This Row],[MRevenue]]/1000000000</f>
        <v>1.7478240999999999E-2</v>
      </c>
      <c r="C51" s="2">
        <v>264146730</v>
      </c>
      <c r="D51" s="2" t="s">
        <v>262</v>
      </c>
      <c r="E51" s="2" t="s">
        <v>86</v>
      </c>
      <c r="F51" s="2" t="s">
        <v>16</v>
      </c>
      <c r="G51" s="2" t="s">
        <v>24</v>
      </c>
      <c r="H51" s="2" t="s">
        <v>13</v>
      </c>
      <c r="I51" s="2" t="s">
        <v>14</v>
      </c>
      <c r="K51" s="2"/>
      <c r="L51" s="2"/>
    </row>
    <row r="52" spans="1:12" ht="56">
      <c r="A52" s="3">
        <v>16965494</v>
      </c>
      <c r="B52" s="16">
        <f>ClassificationTable[[#This Row],[MRevenue]]/1000000000</f>
        <v>1.6965494000000001E-2</v>
      </c>
      <c r="C52" s="2">
        <v>161091767</v>
      </c>
      <c r="D52" s="2" t="s">
        <v>263</v>
      </c>
      <c r="E52" s="2" t="s">
        <v>87</v>
      </c>
      <c r="F52" s="2" t="s">
        <v>11</v>
      </c>
      <c r="G52" s="2" t="s">
        <v>19</v>
      </c>
      <c r="H52" s="2" t="s">
        <v>30</v>
      </c>
      <c r="I52" s="2" t="s">
        <v>21</v>
      </c>
      <c r="J52" s="2" t="s">
        <v>191</v>
      </c>
      <c r="K52" s="2"/>
      <c r="L52" s="2"/>
    </row>
    <row r="53" spans="1:12" ht="70">
      <c r="A53" s="3">
        <v>16916817</v>
      </c>
      <c r="B53" s="16">
        <f>ClassificationTable[[#This Row],[MRevenue]]/1000000000</f>
        <v>1.6916817000000001E-2</v>
      </c>
      <c r="C53" s="2">
        <v>222693047</v>
      </c>
      <c r="D53" s="2" t="s">
        <v>264</v>
      </c>
      <c r="E53" s="2" t="s">
        <v>91</v>
      </c>
      <c r="F53" s="2" t="s">
        <v>32</v>
      </c>
      <c r="G53" s="2" t="s">
        <v>32</v>
      </c>
      <c r="H53" s="2" t="s">
        <v>32</v>
      </c>
      <c r="I53" s="2" t="s">
        <v>21</v>
      </c>
      <c r="J53" s="2"/>
      <c r="K53" s="2"/>
      <c r="L53" s="2"/>
    </row>
    <row r="54" spans="1:12" ht="42">
      <c r="A54" s="3">
        <v>16409981</v>
      </c>
      <c r="B54" s="16">
        <f>ClassificationTable[[#This Row],[MRevenue]]/1000000000</f>
        <v>1.6409981000000001E-2</v>
      </c>
      <c r="C54" s="2">
        <v>811669175</v>
      </c>
      <c r="D54" s="2" t="s">
        <v>265</v>
      </c>
      <c r="E54" s="2" t="s">
        <v>92</v>
      </c>
      <c r="F54" s="2" t="s">
        <v>23</v>
      </c>
      <c r="G54" s="2" t="s">
        <v>24</v>
      </c>
      <c r="H54" s="2" t="s">
        <v>13</v>
      </c>
      <c r="I54" s="2" t="s">
        <v>14</v>
      </c>
      <c r="J54" s="2"/>
      <c r="K54" s="2"/>
      <c r="L54" s="2"/>
    </row>
    <row r="55" spans="1:12" ht="84">
      <c r="A55" s="3">
        <v>14695495</v>
      </c>
      <c r="B55" s="16">
        <f>ClassificationTable[[#This Row],[MRevenue]]/1000000000</f>
        <v>1.4695494999999999E-2</v>
      </c>
      <c r="C55" s="2">
        <v>590174817</v>
      </c>
      <c r="D55" s="2" t="s">
        <v>266</v>
      </c>
      <c r="E55" s="2" t="s">
        <v>93</v>
      </c>
      <c r="F55" s="2" t="s">
        <v>23</v>
      </c>
      <c r="G55" s="2" t="s">
        <v>24</v>
      </c>
      <c r="H55" s="2" t="s">
        <v>30</v>
      </c>
      <c r="I55" s="2" t="s">
        <v>14</v>
      </c>
      <c r="J55" s="2" t="s">
        <v>193</v>
      </c>
      <c r="K55" s="2"/>
      <c r="L55" s="2"/>
    </row>
    <row r="56" spans="1:12" ht="56">
      <c r="A56" s="3">
        <v>13851019</v>
      </c>
      <c r="B56" s="16">
        <f>ClassificationTable[[#This Row],[MRevenue]]/1000000000</f>
        <v>1.3851018999999999E-2</v>
      </c>
      <c r="C56" s="2">
        <v>364367987</v>
      </c>
      <c r="D56" s="2" t="s">
        <v>267</v>
      </c>
      <c r="E56" s="2" t="s">
        <v>94</v>
      </c>
      <c r="F56" s="2" t="s">
        <v>11</v>
      </c>
      <c r="G56" s="2" t="s">
        <v>55</v>
      </c>
      <c r="H56" s="2" t="s">
        <v>13</v>
      </c>
      <c r="I56" s="2" t="s">
        <v>14</v>
      </c>
      <c r="J56" s="2" t="s">
        <v>192</v>
      </c>
      <c r="K56" s="2"/>
      <c r="L56" s="2"/>
    </row>
    <row r="57" spans="1:12" ht="56">
      <c r="A57" s="3">
        <v>13595220</v>
      </c>
      <c r="B57" s="16">
        <f>ClassificationTable[[#This Row],[MRevenue]]/1000000000</f>
        <v>1.359522E-2</v>
      </c>
      <c r="C57" s="2">
        <v>205244339</v>
      </c>
      <c r="D57" s="2" t="s">
        <v>268</v>
      </c>
      <c r="E57" s="2" t="s">
        <v>95</v>
      </c>
      <c r="F57" s="2" t="s">
        <v>11</v>
      </c>
      <c r="G57" s="2" t="s">
        <v>55</v>
      </c>
      <c r="H57" s="2" t="s">
        <v>30</v>
      </c>
      <c r="I57" s="2" t="s">
        <v>14</v>
      </c>
      <c r="J57" s="2" t="s">
        <v>194</v>
      </c>
      <c r="K57" s="2"/>
      <c r="L57" s="2"/>
    </row>
    <row r="58" spans="1:12" ht="56">
      <c r="A58" s="3">
        <v>13468545</v>
      </c>
      <c r="B58" s="16">
        <f>ClassificationTable[[#This Row],[MRevenue]]/1000000000</f>
        <v>1.3468545E-2</v>
      </c>
      <c r="C58" s="2">
        <v>880245022</v>
      </c>
      <c r="D58" s="2" t="s">
        <v>269</v>
      </c>
      <c r="E58" s="2" t="s">
        <v>96</v>
      </c>
      <c r="F58" s="2" t="s">
        <v>11</v>
      </c>
      <c r="G58" s="2" t="s">
        <v>61</v>
      </c>
      <c r="H58" s="2" t="s">
        <v>13</v>
      </c>
      <c r="I58" s="2" t="s">
        <v>14</v>
      </c>
      <c r="J58" s="2" t="s">
        <v>195</v>
      </c>
      <c r="K58" s="2"/>
      <c r="L58" s="2"/>
    </row>
    <row r="59" spans="1:12" ht="98">
      <c r="A59" s="3">
        <v>12864398</v>
      </c>
      <c r="B59" s="16">
        <f>ClassificationTable[[#This Row],[MRevenue]]/1000000000</f>
        <v>1.2864398000000001E-2</v>
      </c>
      <c r="C59" s="2">
        <v>263085485</v>
      </c>
      <c r="D59" s="2" t="s">
        <v>270</v>
      </c>
      <c r="E59" s="2" t="s">
        <v>97</v>
      </c>
      <c r="F59" s="2" t="s">
        <v>28</v>
      </c>
      <c r="G59" s="2" t="s">
        <v>61</v>
      </c>
      <c r="H59" s="2" t="s">
        <v>30</v>
      </c>
      <c r="I59" s="2" t="s">
        <v>14</v>
      </c>
      <c r="J59" s="2" t="s">
        <v>196</v>
      </c>
      <c r="K59" s="2"/>
      <c r="L59" s="2"/>
    </row>
    <row r="60" spans="1:12" ht="70">
      <c r="A60" s="3">
        <v>12603959</v>
      </c>
      <c r="B60" s="16">
        <f>ClassificationTable[[#This Row],[MRevenue]]/1000000000</f>
        <v>1.2603959E-2</v>
      </c>
      <c r="C60" s="2">
        <v>113800306</v>
      </c>
      <c r="D60" s="2" t="s">
        <v>271</v>
      </c>
      <c r="E60" s="2" t="s">
        <v>98</v>
      </c>
      <c r="F60" s="2" t="s">
        <v>23</v>
      </c>
      <c r="G60" s="2" t="s">
        <v>61</v>
      </c>
      <c r="H60" s="2" t="s">
        <v>30</v>
      </c>
      <c r="I60" s="2" t="s">
        <v>14</v>
      </c>
      <c r="J60" s="2"/>
      <c r="K60" s="2"/>
      <c r="L60" s="2"/>
    </row>
    <row r="61" spans="1:12" ht="140">
      <c r="A61" s="3">
        <v>12475884</v>
      </c>
      <c r="B61" s="16">
        <f>ClassificationTable[[#This Row],[MRevenue]]/1000000000</f>
        <v>1.2475884E-2</v>
      </c>
      <c r="C61" s="2">
        <v>830900646</v>
      </c>
      <c r="D61" s="2" t="s">
        <v>272</v>
      </c>
      <c r="E61" s="2" t="s">
        <v>99</v>
      </c>
      <c r="F61" s="2" t="s">
        <v>16</v>
      </c>
      <c r="G61" s="2" t="s">
        <v>100</v>
      </c>
      <c r="H61" s="2" t="s">
        <v>30</v>
      </c>
      <c r="I61" s="2" t="s">
        <v>14</v>
      </c>
      <c r="J61" s="2"/>
      <c r="K61" s="2"/>
      <c r="L61" s="2"/>
    </row>
    <row r="62" spans="1:12" ht="42">
      <c r="A62" s="3">
        <v>11940995</v>
      </c>
      <c r="B62" s="16">
        <f>ClassificationTable[[#This Row],[MRevenue]]/1000000000</f>
        <v>1.1940994999999999E-2</v>
      </c>
      <c r="C62" s="2">
        <v>161396939</v>
      </c>
      <c r="D62" s="2" t="s">
        <v>273</v>
      </c>
      <c r="E62" s="2" t="s">
        <v>101</v>
      </c>
      <c r="F62" s="2" t="s">
        <v>153</v>
      </c>
      <c r="G62" s="2" t="s">
        <v>142</v>
      </c>
      <c r="H62" s="2" t="s">
        <v>13</v>
      </c>
      <c r="I62" s="2" t="s">
        <v>14</v>
      </c>
      <c r="J62" s="2"/>
      <c r="K62" s="2"/>
      <c r="L62" s="2"/>
    </row>
    <row r="63" spans="1:12" ht="56">
      <c r="A63" s="3">
        <v>11925707</v>
      </c>
      <c r="B63" s="16">
        <f>ClassificationTable[[#This Row],[MRevenue]]/1000000000</f>
        <v>1.1925707000000001E-2</v>
      </c>
      <c r="C63" s="2">
        <v>581849665</v>
      </c>
      <c r="D63" s="2" t="s">
        <v>274</v>
      </c>
      <c r="E63" s="2" t="s">
        <v>102</v>
      </c>
      <c r="F63" s="2" t="s">
        <v>153</v>
      </c>
      <c r="G63" s="2" t="s">
        <v>142</v>
      </c>
      <c r="H63" s="2" t="s">
        <v>13</v>
      </c>
      <c r="I63" s="2" t="s">
        <v>14</v>
      </c>
      <c r="J63" s="2"/>
      <c r="K63" s="2"/>
      <c r="L63" s="2"/>
    </row>
    <row r="64" spans="1:12" ht="70">
      <c r="A64" s="3">
        <v>11598945</v>
      </c>
      <c r="B64" s="16">
        <f>ClassificationTable[[#This Row],[MRevenue]]/1000000000</f>
        <v>1.1598944999999999E-2</v>
      </c>
      <c r="C64" s="2">
        <v>205744808</v>
      </c>
      <c r="D64" s="2" t="s">
        <v>275</v>
      </c>
      <c r="E64" s="2" t="s">
        <v>103</v>
      </c>
      <c r="F64" s="2" t="s">
        <v>46</v>
      </c>
      <c r="G64" s="2" t="s">
        <v>29</v>
      </c>
      <c r="H64" s="2" t="s">
        <v>13</v>
      </c>
      <c r="I64" s="2" t="s">
        <v>14</v>
      </c>
      <c r="J64" s="2"/>
      <c r="K64" s="2"/>
      <c r="L64" s="2"/>
    </row>
    <row r="65" spans="1:12" ht="56">
      <c r="A65" s="3">
        <v>11462253</v>
      </c>
      <c r="B65" s="16">
        <f>ClassificationTable[[#This Row],[MRevenue]]/1000000000</f>
        <v>1.1462253E-2</v>
      </c>
      <c r="C65" s="2">
        <v>473290570</v>
      </c>
      <c r="D65" s="2" t="s">
        <v>276</v>
      </c>
      <c r="E65" s="2" t="s">
        <v>104</v>
      </c>
      <c r="F65" s="2" t="s">
        <v>32</v>
      </c>
      <c r="G65" s="2" t="s">
        <v>32</v>
      </c>
      <c r="H65" s="2" t="s">
        <v>32</v>
      </c>
      <c r="I65" s="2" t="s">
        <v>14</v>
      </c>
      <c r="J65" s="2"/>
      <c r="K65" s="2"/>
      <c r="L65" s="2"/>
    </row>
    <row r="66" spans="1:12" ht="98">
      <c r="A66" s="3">
        <v>11425004</v>
      </c>
      <c r="B66" s="16">
        <f>ClassificationTable[[#This Row],[MRevenue]]/1000000000</f>
        <v>1.1425004000000001E-2</v>
      </c>
      <c r="C66" s="2">
        <v>141810368</v>
      </c>
      <c r="D66" s="2" t="s">
        <v>277</v>
      </c>
      <c r="E66" s="2" t="s">
        <v>105</v>
      </c>
      <c r="F66" s="2" t="s">
        <v>11</v>
      </c>
      <c r="G66" s="2" t="s">
        <v>19</v>
      </c>
      <c r="H66" s="2" t="s">
        <v>30</v>
      </c>
      <c r="I66" s="2" t="s">
        <v>14</v>
      </c>
      <c r="J66" s="2" t="s">
        <v>197</v>
      </c>
      <c r="K66" s="2"/>
      <c r="L66" s="2"/>
    </row>
    <row r="67" spans="1:12" ht="56">
      <c r="A67" s="3">
        <v>11400090</v>
      </c>
      <c r="B67" s="16">
        <f>ClassificationTable[[#This Row],[MRevenue]]/1000000000</f>
        <v>1.140009E-2</v>
      </c>
      <c r="C67" s="2">
        <v>844029941</v>
      </c>
      <c r="D67" s="2" t="s">
        <v>278</v>
      </c>
      <c r="E67" s="2" t="s">
        <v>106</v>
      </c>
      <c r="F67" s="2" t="s">
        <v>153</v>
      </c>
      <c r="G67" s="2" t="s">
        <v>142</v>
      </c>
      <c r="H67" s="2" t="s">
        <v>13</v>
      </c>
      <c r="I67" s="2" t="s">
        <v>14</v>
      </c>
      <c r="J67" s="2"/>
      <c r="K67" s="2"/>
      <c r="L67" s="2"/>
    </row>
    <row r="68" spans="1:12" ht="28">
      <c r="A68" s="3">
        <v>11365160</v>
      </c>
      <c r="B68" s="16">
        <f>ClassificationTable[[#This Row],[MRevenue]]/1000000000</f>
        <v>1.1365159999999999E-2</v>
      </c>
      <c r="C68" s="2">
        <v>454681563</v>
      </c>
      <c r="D68" s="2" t="s">
        <v>279</v>
      </c>
      <c r="E68" s="2" t="s">
        <v>107</v>
      </c>
      <c r="F68" s="2" t="s">
        <v>11</v>
      </c>
      <c r="G68" s="2" t="s">
        <v>19</v>
      </c>
      <c r="H68" s="2" t="s">
        <v>30</v>
      </c>
      <c r="I68" s="2" t="s">
        <v>14</v>
      </c>
      <c r="J68" s="2" t="s">
        <v>198</v>
      </c>
      <c r="K68" s="2"/>
      <c r="L68" s="2"/>
    </row>
    <row r="69" spans="1:12" ht="56">
      <c r="A69" s="3">
        <v>11284507</v>
      </c>
      <c r="B69" s="16">
        <f>ClassificationTable[[#This Row],[MRevenue]]/1000000000</f>
        <v>1.1284506999999999E-2</v>
      </c>
      <c r="C69" s="2">
        <v>943402601</v>
      </c>
      <c r="D69" s="2" t="s">
        <v>280</v>
      </c>
      <c r="E69" s="2" t="s">
        <v>108</v>
      </c>
      <c r="F69" s="2" t="s">
        <v>88</v>
      </c>
      <c r="G69" s="2" t="s">
        <v>89</v>
      </c>
      <c r="H69" s="2" t="s">
        <v>90</v>
      </c>
      <c r="I69" s="2" t="s">
        <v>14</v>
      </c>
      <c r="J69" s="2"/>
      <c r="K69" s="2"/>
      <c r="L69" s="2"/>
    </row>
    <row r="70" spans="1:12" ht="42">
      <c r="A70" s="3">
        <v>11134282</v>
      </c>
      <c r="B70" s="16">
        <f>ClassificationTable[[#This Row],[MRevenue]]/1000000000</f>
        <v>1.1134282000000001E-2</v>
      </c>
      <c r="C70" s="2">
        <v>311449807</v>
      </c>
      <c r="D70" s="2" t="s">
        <v>281</v>
      </c>
      <c r="E70" s="2" t="s">
        <v>109</v>
      </c>
      <c r="F70" s="2" t="s">
        <v>32</v>
      </c>
      <c r="G70" s="2" t="s">
        <v>32</v>
      </c>
      <c r="H70" s="2" t="s">
        <v>32</v>
      </c>
      <c r="I70" s="2" t="s">
        <v>14</v>
      </c>
      <c r="J70" s="2"/>
      <c r="K70" s="2"/>
      <c r="L70" s="2"/>
    </row>
    <row r="71" spans="1:12" ht="56">
      <c r="A71" s="3">
        <v>11042911</v>
      </c>
      <c r="B71" s="16">
        <f>ClassificationTable[[#This Row],[MRevenue]]/1000000000</f>
        <v>1.1042911000000001E-2</v>
      </c>
      <c r="C71" s="2">
        <v>522122720</v>
      </c>
      <c r="D71" s="2" t="s">
        <v>282</v>
      </c>
      <c r="E71" s="2" t="s">
        <v>110</v>
      </c>
      <c r="F71" s="2" t="s">
        <v>23</v>
      </c>
      <c r="G71" s="2" t="s">
        <v>142</v>
      </c>
      <c r="H71" s="2" t="s">
        <v>20</v>
      </c>
      <c r="I71" s="2" t="s">
        <v>14</v>
      </c>
      <c r="J71" s="2" t="s">
        <v>199</v>
      </c>
      <c r="K71" s="2"/>
      <c r="L71" s="2"/>
    </row>
    <row r="72" spans="1:12" ht="56">
      <c r="A72" s="3">
        <v>10933921</v>
      </c>
      <c r="B72" s="16">
        <f>ClassificationTable[[#This Row],[MRevenue]]/1000000000</f>
        <v>1.0933920999999999E-2</v>
      </c>
      <c r="C72" s="2">
        <v>264443340</v>
      </c>
      <c r="D72" s="2" t="s">
        <v>283</v>
      </c>
      <c r="E72" s="2" t="s">
        <v>111</v>
      </c>
      <c r="F72" s="2" t="s">
        <v>23</v>
      </c>
      <c r="G72" s="2" t="s">
        <v>24</v>
      </c>
      <c r="H72" s="2" t="s">
        <v>30</v>
      </c>
      <c r="I72" s="2" t="s">
        <v>14</v>
      </c>
      <c r="J72" s="2" t="s">
        <v>200</v>
      </c>
      <c r="K72" s="2"/>
      <c r="L72" s="2"/>
    </row>
    <row r="73" spans="1:12" ht="56">
      <c r="A73" s="3">
        <v>10616004</v>
      </c>
      <c r="B73" s="16">
        <f>ClassificationTable[[#This Row],[MRevenue]]/1000000000</f>
        <v>1.0616004E-2</v>
      </c>
      <c r="C73" s="2">
        <v>680637054</v>
      </c>
      <c r="D73" s="2" t="s">
        <v>284</v>
      </c>
      <c r="E73" s="2" t="s">
        <v>112</v>
      </c>
      <c r="F73" s="2" t="s">
        <v>35</v>
      </c>
      <c r="G73" s="2" t="s">
        <v>36</v>
      </c>
      <c r="H73" s="2" t="s">
        <v>90</v>
      </c>
      <c r="I73" s="2" t="s">
        <v>14</v>
      </c>
      <c r="J73" s="2"/>
      <c r="K73" s="2"/>
      <c r="L73" s="2"/>
    </row>
    <row r="74" spans="1:12" ht="56">
      <c r="A74" s="3">
        <v>10378976</v>
      </c>
      <c r="B74" s="16">
        <f>ClassificationTable[[#This Row],[MRevenue]]/1000000000</f>
        <v>1.0378976E-2</v>
      </c>
      <c r="C74" s="2">
        <v>46406547</v>
      </c>
      <c r="D74" s="2" t="s">
        <v>285</v>
      </c>
      <c r="E74" s="2" t="s">
        <v>113</v>
      </c>
      <c r="F74" s="2" t="s">
        <v>153</v>
      </c>
      <c r="G74" s="2" t="s">
        <v>142</v>
      </c>
      <c r="H74" s="2" t="s">
        <v>30</v>
      </c>
      <c r="I74" s="2" t="s">
        <v>14</v>
      </c>
      <c r="J74" s="2" t="s">
        <v>201</v>
      </c>
      <c r="K74" s="2"/>
      <c r="L74" s="2"/>
    </row>
    <row r="75" spans="1:12" ht="42">
      <c r="A75" s="3">
        <v>10280296</v>
      </c>
      <c r="B75" s="16">
        <f>ClassificationTable[[#This Row],[MRevenue]]/1000000000</f>
        <v>1.0280296E-2</v>
      </c>
      <c r="C75" s="2">
        <v>362906995</v>
      </c>
      <c r="D75" s="2" t="s">
        <v>286</v>
      </c>
      <c r="E75" s="2" t="s">
        <v>114</v>
      </c>
      <c r="F75" s="2" t="s">
        <v>28</v>
      </c>
      <c r="G75" s="2" t="s">
        <v>190</v>
      </c>
      <c r="H75" s="2" t="s">
        <v>90</v>
      </c>
      <c r="I75" s="2" t="s">
        <v>14</v>
      </c>
      <c r="J75" s="2"/>
      <c r="K75" s="2"/>
      <c r="L75" s="2"/>
    </row>
    <row r="76" spans="1:12" ht="84">
      <c r="A76" s="3">
        <v>10187777</v>
      </c>
      <c r="B76" s="16">
        <f>ClassificationTable[[#This Row],[MRevenue]]/1000000000</f>
        <v>1.0187777E-2</v>
      </c>
      <c r="C76" s="2">
        <v>472219464</v>
      </c>
      <c r="D76" s="2" t="s">
        <v>287</v>
      </c>
      <c r="E76" s="2" t="s">
        <v>115</v>
      </c>
      <c r="F76" s="2" t="s">
        <v>23</v>
      </c>
      <c r="G76" s="2" t="s">
        <v>24</v>
      </c>
      <c r="H76" s="2" t="s">
        <v>13</v>
      </c>
      <c r="I76" s="2" t="s">
        <v>14</v>
      </c>
      <c r="J76" s="2"/>
      <c r="K76" s="2"/>
      <c r="L76" s="2"/>
    </row>
    <row r="77" spans="1:12" ht="42">
      <c r="A77" s="3">
        <v>10042342</v>
      </c>
      <c r="B77" s="16">
        <f>ClassificationTable[[#This Row],[MRevenue]]/1000000000</f>
        <v>1.0042341999999999E-2</v>
      </c>
      <c r="C77" s="2">
        <v>131623854</v>
      </c>
      <c r="D77" s="2" t="s">
        <v>288</v>
      </c>
      <c r="E77" s="2" t="s">
        <v>116</v>
      </c>
      <c r="F77" s="2" t="s">
        <v>11</v>
      </c>
      <c r="G77" s="2" t="s">
        <v>55</v>
      </c>
      <c r="H77" s="2" t="s">
        <v>30</v>
      </c>
      <c r="I77" s="2" t="s">
        <v>14</v>
      </c>
      <c r="J77" s="2" t="s">
        <v>202</v>
      </c>
      <c r="K77" s="2"/>
      <c r="L77" s="2"/>
    </row>
    <row r="78" spans="1:12" ht="28">
      <c r="A78" s="3">
        <v>9987613</v>
      </c>
      <c r="B78" s="16">
        <f>ClassificationTable[[#This Row],[MRevenue]]/1000000000</f>
        <v>9.9876129999999994E-3</v>
      </c>
      <c r="C78" s="2">
        <v>363382069</v>
      </c>
      <c r="D78" s="2" t="s">
        <v>289</v>
      </c>
      <c r="E78" s="2" t="s">
        <v>117</v>
      </c>
      <c r="F78" s="2" t="s">
        <v>28</v>
      </c>
      <c r="G78" s="2" t="s">
        <v>29</v>
      </c>
      <c r="H78" s="2" t="s">
        <v>20</v>
      </c>
      <c r="I78" s="2" t="s">
        <v>14</v>
      </c>
      <c r="J78" s="2" t="s">
        <v>203</v>
      </c>
      <c r="K78" s="2"/>
      <c r="L78" s="2"/>
    </row>
    <row r="79" spans="1:12" ht="84">
      <c r="A79" s="3">
        <v>9922476</v>
      </c>
      <c r="B79" s="16">
        <f>ClassificationTable[[#This Row],[MRevenue]]/1000000000</f>
        <v>9.9224759999999995E-3</v>
      </c>
      <c r="C79" s="2">
        <v>522317193</v>
      </c>
      <c r="D79" s="2" t="s">
        <v>290</v>
      </c>
      <c r="E79" s="2" t="s">
        <v>118</v>
      </c>
      <c r="F79" s="2" t="s">
        <v>28</v>
      </c>
      <c r="G79" s="2" t="s">
        <v>29</v>
      </c>
      <c r="H79" s="2" t="s">
        <v>30</v>
      </c>
      <c r="I79" s="2" t="s">
        <v>14</v>
      </c>
      <c r="J79" s="2" t="s">
        <v>204</v>
      </c>
      <c r="K79" s="2"/>
      <c r="L79" s="2"/>
    </row>
    <row r="80" spans="1:12" ht="70">
      <c r="A80" s="3">
        <v>9767076</v>
      </c>
      <c r="B80" s="16">
        <f>ClassificationTable[[#This Row],[MRevenue]]/1000000000</f>
        <v>9.7670759999999995E-3</v>
      </c>
      <c r="C80" s="2">
        <v>814538081</v>
      </c>
      <c r="D80" s="2" t="s">
        <v>291</v>
      </c>
      <c r="E80" s="2" t="s">
        <v>119</v>
      </c>
      <c r="F80" s="2" t="s">
        <v>16</v>
      </c>
      <c r="G80" s="2" t="s">
        <v>150</v>
      </c>
      <c r="H80" s="2" t="s">
        <v>90</v>
      </c>
      <c r="I80" s="2" t="s">
        <v>14</v>
      </c>
      <c r="J80" s="2"/>
      <c r="K80" s="2"/>
      <c r="L80" s="2"/>
    </row>
    <row r="81" spans="1:12" ht="70">
      <c r="A81" s="3">
        <v>9735414</v>
      </c>
      <c r="B81" s="16">
        <f>ClassificationTable[[#This Row],[MRevenue]]/1000000000</f>
        <v>9.7354139999999995E-3</v>
      </c>
      <c r="C81" s="2">
        <v>363180580</v>
      </c>
      <c r="D81" s="2" t="s">
        <v>292</v>
      </c>
      <c r="E81" s="2" t="s">
        <v>120</v>
      </c>
      <c r="F81" s="2" t="s">
        <v>28</v>
      </c>
      <c r="G81" s="2" t="s">
        <v>190</v>
      </c>
      <c r="H81" s="2" t="s">
        <v>90</v>
      </c>
      <c r="I81" s="2" t="s">
        <v>14</v>
      </c>
      <c r="J81" s="2"/>
      <c r="K81" s="2"/>
      <c r="L81" s="2"/>
    </row>
    <row r="82" spans="1:12" ht="42">
      <c r="A82" s="3">
        <v>9705783</v>
      </c>
      <c r="B82" s="16">
        <f>ClassificationTable[[#This Row],[MRevenue]]/1000000000</f>
        <v>9.7057830000000008E-3</v>
      </c>
      <c r="C82" s="2">
        <v>570905550</v>
      </c>
      <c r="D82" s="2" t="s">
        <v>293</v>
      </c>
      <c r="E82" s="2" t="s">
        <v>121</v>
      </c>
      <c r="F82" s="2" t="s">
        <v>32</v>
      </c>
      <c r="G82" s="2" t="s">
        <v>32</v>
      </c>
      <c r="H82" s="2" t="s">
        <v>32</v>
      </c>
      <c r="I82" s="2" t="s">
        <v>14</v>
      </c>
      <c r="J82" s="2"/>
      <c r="K82" s="2"/>
      <c r="L82" s="2"/>
    </row>
    <row r="83" spans="1:12" ht="42">
      <c r="A83" s="3">
        <v>9694901</v>
      </c>
      <c r="B83" s="16">
        <f>ClassificationTable[[#This Row],[MRevenue]]/1000000000</f>
        <v>9.6949010000000006E-3</v>
      </c>
      <c r="C83" s="2">
        <v>200187043</v>
      </c>
      <c r="D83" s="2" t="s">
        <v>294</v>
      </c>
      <c r="E83" s="2" t="s">
        <v>122</v>
      </c>
      <c r="F83" s="2" t="s">
        <v>88</v>
      </c>
      <c r="G83" s="2" t="s">
        <v>89</v>
      </c>
      <c r="H83" s="2" t="s">
        <v>90</v>
      </c>
      <c r="I83" s="2" t="s">
        <v>14</v>
      </c>
      <c r="J83" s="2"/>
      <c r="K83" s="2"/>
      <c r="L83" s="2"/>
    </row>
    <row r="84" spans="1:12" ht="56">
      <c r="A84" s="3">
        <v>9669959</v>
      </c>
      <c r="B84" s="16">
        <f>ClassificationTable[[#This Row],[MRevenue]]/1000000000</f>
        <v>9.6699590000000005E-3</v>
      </c>
      <c r="C84" s="2">
        <v>411893463</v>
      </c>
      <c r="D84" s="2" t="s">
        <v>295</v>
      </c>
      <c r="E84" s="2" t="s">
        <v>123</v>
      </c>
      <c r="F84" s="2" t="s">
        <v>28</v>
      </c>
      <c r="G84" s="2" t="s">
        <v>61</v>
      </c>
      <c r="H84" s="2" t="s">
        <v>30</v>
      </c>
      <c r="I84" s="2" t="s">
        <v>14</v>
      </c>
      <c r="J84" s="2"/>
      <c r="K84" s="2"/>
      <c r="L84" s="2"/>
    </row>
    <row r="85" spans="1:12" ht="56">
      <c r="A85" s="3">
        <v>9532106</v>
      </c>
      <c r="B85" s="16">
        <f>ClassificationTable[[#This Row],[MRevenue]]/1000000000</f>
        <v>9.5321060000000003E-3</v>
      </c>
      <c r="C85" s="2">
        <v>271397124</v>
      </c>
      <c r="D85" s="2" t="s">
        <v>296</v>
      </c>
      <c r="E85" s="2" t="s">
        <v>124</v>
      </c>
      <c r="F85" s="2" t="s">
        <v>23</v>
      </c>
      <c r="G85" s="2" t="s">
        <v>24</v>
      </c>
      <c r="H85" s="2" t="s">
        <v>30</v>
      </c>
      <c r="I85" s="2" t="s">
        <v>14</v>
      </c>
      <c r="J85" s="2" t="s">
        <v>205</v>
      </c>
      <c r="K85" s="2"/>
      <c r="L85" s="2"/>
    </row>
    <row r="86" spans="1:12" ht="28">
      <c r="A86" s="3">
        <v>9470389</v>
      </c>
      <c r="B86" s="16">
        <f>ClassificationTable[[#This Row],[MRevenue]]/1000000000</f>
        <v>9.4703889999999992E-3</v>
      </c>
      <c r="C86" s="2">
        <v>943148303</v>
      </c>
      <c r="D86" s="2" t="s">
        <v>297</v>
      </c>
      <c r="E86" s="2" t="s">
        <v>125</v>
      </c>
      <c r="F86" s="2" t="s">
        <v>88</v>
      </c>
      <c r="G86" s="2" t="s">
        <v>89</v>
      </c>
      <c r="H86" s="2" t="s">
        <v>90</v>
      </c>
      <c r="I86" s="2" t="s">
        <v>14</v>
      </c>
      <c r="J86" s="2"/>
      <c r="K86" s="2"/>
      <c r="L86" s="2"/>
    </row>
    <row r="87" spans="1:12" ht="56">
      <c r="A87" s="3">
        <v>9420937</v>
      </c>
      <c r="B87" s="16">
        <f>ClassificationTable[[#This Row],[MRevenue]]/1000000000</f>
        <v>9.4209370000000008E-3</v>
      </c>
      <c r="C87" s="2">
        <v>311491083</v>
      </c>
      <c r="D87" s="2" t="s">
        <v>298</v>
      </c>
      <c r="E87" s="2" t="s">
        <v>126</v>
      </c>
      <c r="F87" s="2" t="s">
        <v>88</v>
      </c>
      <c r="G87" s="2" t="s">
        <v>89</v>
      </c>
      <c r="H87" s="2" t="s">
        <v>90</v>
      </c>
      <c r="I87" s="2" t="s">
        <v>14</v>
      </c>
      <c r="J87" s="2"/>
      <c r="K87" s="2"/>
      <c r="L87" s="2"/>
    </row>
    <row r="88" spans="1:12" ht="56">
      <c r="A88" s="3">
        <v>9412032</v>
      </c>
      <c r="B88" s="16">
        <f>ClassificationTable[[#This Row],[MRevenue]]/1000000000</f>
        <v>9.4120320000000007E-3</v>
      </c>
      <c r="C88" s="2">
        <v>363832205</v>
      </c>
      <c r="D88" s="2" t="s">
        <v>299</v>
      </c>
      <c r="E88" s="2" t="s">
        <v>127</v>
      </c>
      <c r="F88" s="2" t="s">
        <v>28</v>
      </c>
      <c r="G88" s="2" t="s">
        <v>55</v>
      </c>
      <c r="H88" s="2" t="s">
        <v>30</v>
      </c>
      <c r="I88" s="2" t="s">
        <v>14</v>
      </c>
      <c r="J88" s="2" t="s">
        <v>206</v>
      </c>
      <c r="K88" s="2"/>
      <c r="L88" s="2"/>
    </row>
    <row r="89" spans="1:12" ht="28">
      <c r="A89" s="3">
        <v>9372870</v>
      </c>
      <c r="B89" s="16">
        <f>ClassificationTable[[#This Row],[MRevenue]]/1000000000</f>
        <v>9.3728700000000002E-3</v>
      </c>
      <c r="C89" s="2">
        <v>450672514</v>
      </c>
      <c r="D89" s="2" t="s">
        <v>300</v>
      </c>
      <c r="E89" s="2" t="s">
        <v>128</v>
      </c>
      <c r="F89" s="2" t="s">
        <v>32</v>
      </c>
      <c r="G89" s="2" t="s">
        <v>32</v>
      </c>
      <c r="H89" s="2" t="s">
        <v>32</v>
      </c>
      <c r="I89" s="2" t="s">
        <v>14</v>
      </c>
      <c r="J89" s="2"/>
      <c r="K89" s="2"/>
      <c r="L89" s="2"/>
    </row>
    <row r="90" spans="1:12" ht="28">
      <c r="A90" s="3">
        <v>9025350</v>
      </c>
      <c r="B90" s="16">
        <f>ClassificationTable[[#This Row],[MRevenue]]/1000000000</f>
        <v>9.0253499999999997E-3</v>
      </c>
      <c r="C90" s="2">
        <v>911316838</v>
      </c>
      <c r="D90" s="2" t="s">
        <v>301</v>
      </c>
      <c r="E90" s="2" t="s">
        <v>104</v>
      </c>
      <c r="F90" s="2" t="s">
        <v>32</v>
      </c>
      <c r="G90" s="2" t="s">
        <v>32</v>
      </c>
      <c r="H90" s="2" t="s">
        <v>32</v>
      </c>
      <c r="I90" s="2" t="s">
        <v>14</v>
      </c>
      <c r="J90" s="2"/>
      <c r="K90" s="2"/>
      <c r="L90" s="2"/>
    </row>
    <row r="91" spans="1:12" ht="42">
      <c r="A91" s="3">
        <v>8820986</v>
      </c>
      <c r="B91" s="16">
        <f>ClassificationTable[[#This Row],[MRevenue]]/1000000000</f>
        <v>8.8209859999999994E-3</v>
      </c>
      <c r="C91" s="2">
        <v>530115900</v>
      </c>
      <c r="D91" s="2" t="s">
        <v>302</v>
      </c>
      <c r="E91" s="2" t="s">
        <v>129</v>
      </c>
      <c r="F91" s="2" t="s">
        <v>88</v>
      </c>
      <c r="G91" s="2" t="s">
        <v>89</v>
      </c>
      <c r="J91" s="2"/>
      <c r="K91" s="2"/>
      <c r="L91" s="2"/>
    </row>
    <row r="92" spans="1:12" ht="70">
      <c r="A92" s="3">
        <v>8686132</v>
      </c>
      <c r="B92" s="16">
        <f>ClassificationTable[[#This Row],[MRevenue]]/1000000000</f>
        <v>8.6861319999999992E-3</v>
      </c>
      <c r="C92" s="2">
        <v>363166049</v>
      </c>
      <c r="D92" s="2" t="s">
        <v>303</v>
      </c>
      <c r="E92" s="2" t="s">
        <v>130</v>
      </c>
      <c r="F92" s="2" t="s">
        <v>28</v>
      </c>
      <c r="G92" s="2" t="s">
        <v>55</v>
      </c>
      <c r="H92" s="2" t="s">
        <v>30</v>
      </c>
      <c r="I92" s="2" t="s">
        <v>14</v>
      </c>
      <c r="J92" s="2" t="s">
        <v>207</v>
      </c>
      <c r="K92" s="2"/>
      <c r="L92" s="2"/>
    </row>
    <row r="93" spans="1:12" ht="56">
      <c r="A93" s="3">
        <v>8185238</v>
      </c>
      <c r="B93" s="16">
        <f>ClassificationTable[[#This Row],[MRevenue]]/1000000000</f>
        <v>8.1852379999999992E-3</v>
      </c>
      <c r="C93" s="2">
        <v>742898888</v>
      </c>
      <c r="D93" s="2" t="s">
        <v>304</v>
      </c>
      <c r="E93" s="2" t="s">
        <v>131</v>
      </c>
      <c r="F93" s="2" t="s">
        <v>16</v>
      </c>
      <c r="G93" s="2" t="s">
        <v>44</v>
      </c>
      <c r="H93" s="2" t="s">
        <v>90</v>
      </c>
      <c r="I93" s="2" t="s">
        <v>14</v>
      </c>
      <c r="J93" s="2"/>
      <c r="K93" s="2"/>
      <c r="L93" s="2"/>
    </row>
    <row r="94" spans="1:12" ht="28">
      <c r="A94" s="3">
        <v>8181480</v>
      </c>
      <c r="B94" s="16">
        <f>ClassificationTable[[#This Row],[MRevenue]]/1000000000</f>
        <v>8.1814799999999997E-3</v>
      </c>
      <c r="C94" s="2">
        <v>480840415</v>
      </c>
      <c r="D94" s="2" t="s">
        <v>305</v>
      </c>
      <c r="E94" s="2" t="s">
        <v>132</v>
      </c>
      <c r="F94" s="2" t="s">
        <v>23</v>
      </c>
      <c r="G94" s="2" t="s">
        <v>24</v>
      </c>
      <c r="H94" s="2" t="s">
        <v>13</v>
      </c>
      <c r="I94" s="2" t="s">
        <v>14</v>
      </c>
      <c r="J94" s="2"/>
      <c r="K94" s="2"/>
      <c r="L94" s="2"/>
    </row>
    <row r="95" spans="1:12" ht="42">
      <c r="A95" s="3">
        <v>8155014</v>
      </c>
      <c r="B95" s="16">
        <f>ClassificationTable[[#This Row],[MRevenue]]/1000000000</f>
        <v>8.1550140000000004E-3</v>
      </c>
      <c r="C95" s="2">
        <v>821663503</v>
      </c>
      <c r="D95" s="2" t="s">
        <v>306</v>
      </c>
      <c r="E95" s="2" t="s">
        <v>133</v>
      </c>
      <c r="F95" s="2" t="s">
        <v>11</v>
      </c>
      <c r="G95" s="2" t="s">
        <v>19</v>
      </c>
      <c r="H95" s="2" t="s">
        <v>90</v>
      </c>
      <c r="I95" s="2" t="s">
        <v>14</v>
      </c>
      <c r="J95" s="2"/>
      <c r="K95" s="2"/>
      <c r="L95" s="2"/>
    </row>
    <row r="96" spans="1:12" ht="56">
      <c r="A96" s="3">
        <v>8115909</v>
      </c>
      <c r="B96" s="16">
        <f>ClassificationTable[[#This Row],[MRevenue]]/1000000000</f>
        <v>8.1159089999999993E-3</v>
      </c>
      <c r="C96" s="2">
        <v>821672519</v>
      </c>
      <c r="D96" s="2" t="s">
        <v>307</v>
      </c>
      <c r="E96" s="2" t="s">
        <v>134</v>
      </c>
      <c r="F96" s="2" t="s">
        <v>23</v>
      </c>
      <c r="G96" s="2" t="s">
        <v>24</v>
      </c>
      <c r="H96" s="2" t="s">
        <v>20</v>
      </c>
      <c r="I96" s="2" t="s">
        <v>14</v>
      </c>
      <c r="J96" s="2" t="s">
        <v>208</v>
      </c>
      <c r="K96" s="2"/>
      <c r="L96" s="2"/>
    </row>
    <row r="97" spans="1:12" ht="56">
      <c r="A97" s="3">
        <v>8090466</v>
      </c>
      <c r="B97" s="16">
        <f>ClassificationTable[[#This Row],[MRevenue]]/1000000000</f>
        <v>8.0904659999999993E-3</v>
      </c>
      <c r="C97" s="2">
        <v>851408588</v>
      </c>
      <c r="D97" s="2" t="s">
        <v>308</v>
      </c>
      <c r="E97" s="2" t="s">
        <v>135</v>
      </c>
      <c r="F97" s="2" t="s">
        <v>46</v>
      </c>
      <c r="G97" s="2" t="s">
        <v>47</v>
      </c>
      <c r="H97" s="2" t="s">
        <v>90</v>
      </c>
      <c r="I97" s="2" t="s">
        <v>14</v>
      </c>
      <c r="J97" s="2"/>
      <c r="K97" s="2"/>
      <c r="L97" s="2"/>
    </row>
    <row r="98" spans="1:12" ht="42">
      <c r="A98" s="3">
        <v>7954948</v>
      </c>
      <c r="B98" s="16">
        <f>ClassificationTable[[#This Row],[MRevenue]]/1000000000</f>
        <v>7.9549479999999999E-3</v>
      </c>
      <c r="C98" s="2">
        <v>871876876</v>
      </c>
      <c r="D98" s="2" t="s">
        <v>309</v>
      </c>
      <c r="E98" s="2" t="s">
        <v>136</v>
      </c>
      <c r="F98" s="2" t="s">
        <v>23</v>
      </c>
      <c r="G98" s="2" t="s">
        <v>24</v>
      </c>
      <c r="H98" s="2" t="s">
        <v>20</v>
      </c>
      <c r="I98" s="2" t="s">
        <v>14</v>
      </c>
      <c r="J98" s="2" t="s">
        <v>209</v>
      </c>
      <c r="K98" s="2"/>
      <c r="L98" s="2"/>
    </row>
    <row r="99" spans="1:12" ht="28">
      <c r="A99" s="3">
        <v>7590095</v>
      </c>
      <c r="B99" s="16">
        <f>ClassificationTable[[#This Row],[MRevenue]]/1000000000</f>
        <v>7.5900949999999998E-3</v>
      </c>
      <c r="C99" s="2">
        <v>581537967</v>
      </c>
      <c r="D99" s="2" t="s">
        <v>310</v>
      </c>
      <c r="E99" s="2" t="s">
        <v>104</v>
      </c>
      <c r="F99" s="2" t="s">
        <v>32</v>
      </c>
      <c r="G99" s="2" t="s">
        <v>32</v>
      </c>
      <c r="H99" s="2" t="s">
        <v>32</v>
      </c>
      <c r="I99" s="2" t="s">
        <v>14</v>
      </c>
      <c r="J99" s="2"/>
      <c r="K99" s="2"/>
      <c r="L99" s="2"/>
    </row>
    <row r="100" spans="1:12" ht="56">
      <c r="A100" s="3">
        <v>7544372</v>
      </c>
      <c r="B100" s="16">
        <f>ClassificationTable[[#This Row],[MRevenue]]/1000000000</f>
        <v>7.5443719999999997E-3</v>
      </c>
      <c r="C100" s="2">
        <v>131950856</v>
      </c>
      <c r="D100" s="2" t="s">
        <v>311</v>
      </c>
      <c r="E100" s="2" t="s">
        <v>137</v>
      </c>
      <c r="F100" s="2" t="s">
        <v>32</v>
      </c>
      <c r="G100" s="2" t="s">
        <v>32</v>
      </c>
      <c r="H100" s="2" t="s">
        <v>30</v>
      </c>
      <c r="I100" s="2" t="s">
        <v>14</v>
      </c>
      <c r="J100" s="2" t="s">
        <v>210</v>
      </c>
      <c r="K100" s="2"/>
      <c r="L100" s="2"/>
    </row>
    <row r="101" spans="1:12" ht="70">
      <c r="A101" s="3">
        <v>7515913</v>
      </c>
      <c r="B101" s="16">
        <f>ClassificationTable[[#This Row],[MRevenue]]/1000000000</f>
        <v>7.5159129999999999E-3</v>
      </c>
      <c r="C101" s="2">
        <v>756027740</v>
      </c>
      <c r="D101" s="2" t="s">
        <v>312</v>
      </c>
      <c r="E101" s="2" t="s">
        <v>138</v>
      </c>
      <c r="F101" s="2" t="s">
        <v>88</v>
      </c>
      <c r="G101" s="2" t="s">
        <v>89</v>
      </c>
      <c r="H101" s="2" t="s">
        <v>90</v>
      </c>
      <c r="I101" s="2" t="s">
        <v>14</v>
      </c>
      <c r="J101" s="2"/>
      <c r="K101" s="2"/>
      <c r="L101" s="2"/>
    </row>
    <row r="102" spans="1:12" s="9" customFormat="1" ht="43.5">
      <c r="A102" s="7">
        <v>7428706</v>
      </c>
      <c r="B102" s="17">
        <f>ClassificationTable[[#This Row],[MRevenue]]/1000000000</f>
        <v>7.4287060000000002E-3</v>
      </c>
      <c r="C102" s="8">
        <v>43169620</v>
      </c>
      <c r="D102" s="8" t="s">
        <v>313</v>
      </c>
      <c r="E102" s="8" t="s">
        <v>139</v>
      </c>
      <c r="F102" s="8" t="s">
        <v>11</v>
      </c>
      <c r="G102" s="8" t="s">
        <v>19</v>
      </c>
      <c r="H102" s="8" t="s">
        <v>20</v>
      </c>
      <c r="I102" s="8" t="s">
        <v>14</v>
      </c>
      <c r="J102" s="8" t="s">
        <v>211</v>
      </c>
      <c r="K102" s="8"/>
      <c r="L102" s="8"/>
    </row>
    <row r="103" spans="1:12" ht="28.5">
      <c r="A103" s="3">
        <v>7370167</v>
      </c>
      <c r="B103" s="16">
        <f>ClassificationTable[[#This Row],[MRevenue]]/1000000000</f>
        <v>7.3701670000000004E-3</v>
      </c>
      <c r="C103" s="2">
        <v>30344168</v>
      </c>
      <c r="D103" s="2" t="s">
        <v>314</v>
      </c>
      <c r="E103" s="2" t="s">
        <v>140</v>
      </c>
      <c r="F103" s="2" t="s">
        <v>11</v>
      </c>
      <c r="G103" s="8" t="s">
        <v>19</v>
      </c>
      <c r="H103" s="2" t="s">
        <v>13</v>
      </c>
      <c r="I103" s="2" t="s">
        <v>14</v>
      </c>
      <c r="J103" s="2" t="s">
        <v>212</v>
      </c>
      <c r="K103" s="2"/>
      <c r="L103" s="2"/>
    </row>
    <row r="104" spans="1:12" ht="70">
      <c r="A104" s="3">
        <v>7333168</v>
      </c>
      <c r="B104" s="16">
        <f>ClassificationTable[[#This Row],[MRevenue]]/1000000000</f>
        <v>7.3331680000000002E-3</v>
      </c>
      <c r="C104" s="2">
        <v>208376689</v>
      </c>
      <c r="D104" s="2" t="s">
        <v>315</v>
      </c>
      <c r="E104" s="2" t="s">
        <v>141</v>
      </c>
      <c r="F104" s="2" t="s">
        <v>11</v>
      </c>
      <c r="G104" s="2" t="s">
        <v>19</v>
      </c>
      <c r="H104" s="2" t="s">
        <v>13</v>
      </c>
      <c r="I104" s="2" t="s">
        <v>14</v>
      </c>
      <c r="J104" s="2"/>
      <c r="K104" s="2"/>
      <c r="L104" s="2"/>
    </row>
    <row r="105" spans="1:12" ht="140">
      <c r="A105" s="3">
        <v>7260831</v>
      </c>
      <c r="B105" s="16">
        <f>ClassificationTable[[#This Row],[MRevenue]]/1000000000</f>
        <v>7.2608309999999997E-3</v>
      </c>
      <c r="C105" s="2">
        <v>463032063</v>
      </c>
      <c r="D105" s="2" t="s">
        <v>316</v>
      </c>
      <c r="E105" s="2" t="s">
        <v>143</v>
      </c>
      <c r="F105" s="2" t="s">
        <v>23</v>
      </c>
      <c r="G105" s="2" t="s">
        <v>24</v>
      </c>
      <c r="H105" s="2" t="s">
        <v>13</v>
      </c>
      <c r="I105" s="2" t="s">
        <v>14</v>
      </c>
      <c r="J105" s="2" t="s">
        <v>213</v>
      </c>
      <c r="K105" s="2"/>
      <c r="L105" s="2"/>
    </row>
    <row r="106" spans="1:12" ht="56">
      <c r="A106" s="3">
        <v>7141177</v>
      </c>
      <c r="B106" s="16">
        <f>ClassificationTable[[#This Row],[MRevenue]]/1000000000</f>
        <v>7.1411770000000003E-3</v>
      </c>
      <c r="C106" s="2">
        <v>830249753</v>
      </c>
      <c r="D106" s="2" t="s">
        <v>317</v>
      </c>
      <c r="E106" s="2" t="s">
        <v>144</v>
      </c>
      <c r="F106" s="2" t="s">
        <v>88</v>
      </c>
      <c r="G106" s="2" t="s">
        <v>89</v>
      </c>
      <c r="H106" s="2" t="s">
        <v>90</v>
      </c>
      <c r="I106" s="2" t="s">
        <v>14</v>
      </c>
      <c r="J106" s="2"/>
      <c r="K106" s="2"/>
      <c r="L106" s="2"/>
    </row>
    <row r="107" spans="1:12" ht="42">
      <c r="A107" s="3">
        <v>7131173</v>
      </c>
      <c r="B107" s="16">
        <f>ClassificationTable[[#This Row],[MRevenue]]/1000000000</f>
        <v>7.1311730000000002E-3</v>
      </c>
      <c r="C107" s="2">
        <v>237286648</v>
      </c>
      <c r="D107" s="2" t="s">
        <v>318</v>
      </c>
      <c r="E107" s="2" t="s">
        <v>145</v>
      </c>
      <c r="F107" s="2" t="s">
        <v>32</v>
      </c>
      <c r="G107" s="2" t="s">
        <v>32</v>
      </c>
      <c r="H107" s="2" t="s">
        <v>32</v>
      </c>
      <c r="I107" s="2" t="s">
        <v>14</v>
      </c>
      <c r="J107" s="2"/>
      <c r="K107" s="2"/>
      <c r="L107" s="2"/>
    </row>
    <row r="108" spans="1:12" ht="42">
      <c r="A108" s="3">
        <v>7080134</v>
      </c>
      <c r="B108" s="16">
        <f>ClassificationTable[[#This Row],[MRevenue]]/1000000000</f>
        <v>7.0801340000000001E-3</v>
      </c>
      <c r="C108" s="2">
        <v>731682844</v>
      </c>
      <c r="D108" s="2" t="s">
        <v>319</v>
      </c>
      <c r="E108" s="2" t="s">
        <v>146</v>
      </c>
      <c r="F108" s="2" t="s">
        <v>88</v>
      </c>
      <c r="G108" s="2" t="s">
        <v>89</v>
      </c>
      <c r="H108" s="2" t="s">
        <v>90</v>
      </c>
      <c r="I108" s="2" t="s">
        <v>14</v>
      </c>
      <c r="J108" s="2"/>
      <c r="K108" s="2"/>
      <c r="L108" s="2"/>
    </row>
    <row r="109" spans="1:12" ht="70">
      <c r="A109" s="3">
        <v>6999341</v>
      </c>
      <c r="B109" s="16">
        <f>ClassificationTable[[#This Row],[MRevenue]]/1000000000</f>
        <v>6.9993410000000001E-3</v>
      </c>
      <c r="C109" s="2">
        <v>421630116</v>
      </c>
      <c r="D109" s="2" t="s">
        <v>320</v>
      </c>
      <c r="E109" s="2" t="s">
        <v>147</v>
      </c>
      <c r="F109" s="2" t="s">
        <v>28</v>
      </c>
      <c r="G109" s="2" t="s">
        <v>61</v>
      </c>
      <c r="H109" s="2" t="s">
        <v>30</v>
      </c>
      <c r="I109" s="2" t="s">
        <v>21</v>
      </c>
      <c r="J109" s="2"/>
      <c r="K109" s="2"/>
      <c r="L109" s="2"/>
    </row>
    <row r="110" spans="1:12" ht="70">
      <c r="A110" s="3">
        <v>6948355</v>
      </c>
      <c r="B110" s="16">
        <f>ClassificationTable[[#This Row],[MRevenue]]/1000000000</f>
        <v>6.9483549999999998E-3</v>
      </c>
      <c r="C110" s="2">
        <v>362210012</v>
      </c>
      <c r="D110" s="2" t="s">
        <v>321</v>
      </c>
      <c r="E110" s="2" t="s">
        <v>148</v>
      </c>
      <c r="F110" s="2" t="s">
        <v>88</v>
      </c>
      <c r="G110" s="2" t="s">
        <v>89</v>
      </c>
      <c r="H110" s="2" t="s">
        <v>90</v>
      </c>
      <c r="I110" s="2" t="s">
        <v>14</v>
      </c>
      <c r="J110" s="2"/>
      <c r="K110" s="2"/>
      <c r="L110" s="2"/>
    </row>
    <row r="111" spans="1:12" ht="56">
      <c r="A111" s="3">
        <v>6860753</v>
      </c>
      <c r="B111" s="16">
        <f>ClassificationTable[[#This Row],[MRevenue]]/1000000000</f>
        <v>6.8607529999999998E-3</v>
      </c>
      <c r="C111" s="2">
        <v>237416302</v>
      </c>
      <c r="D111" s="2" t="s">
        <v>322</v>
      </c>
      <c r="E111" s="2" t="s">
        <v>128</v>
      </c>
      <c r="F111" s="2" t="s">
        <v>32</v>
      </c>
      <c r="G111" s="2" t="s">
        <v>32</v>
      </c>
      <c r="H111" s="2" t="s">
        <v>32</v>
      </c>
      <c r="I111" s="2" t="s">
        <v>21</v>
      </c>
      <c r="J111" s="2"/>
      <c r="K111" s="2"/>
      <c r="L111"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000-000000000000}">
          <x14:formula1>
            <xm:f>Lists!$A$2:$A$10</xm:f>
          </x14:formula1>
          <xm:sqref>F2:F111</xm:sqref>
        </x14:dataValidation>
        <x14:dataValidation type="list" xr:uid="{00000000-0002-0000-0000-000001000000}">
          <x14:formula1>
            <xm:f>Lists!$B$2:$B$23</xm:f>
          </x14:formula1>
          <xm:sqref>G2:G111</xm:sqref>
        </x14:dataValidation>
        <x14:dataValidation type="list" xr:uid="{00000000-0002-0000-0000-000003000000}">
          <x14:formula1>
            <xm:f>Lists!$D$2:$D$5</xm:f>
          </x14:formula1>
          <xm:sqref>I2:I90 I92:I111</xm:sqref>
        </x14:dataValidation>
        <x14:dataValidation type="list" xr:uid="{00000000-0002-0000-0000-000002000000}">
          <x14:formula1>
            <xm:f>Lists!$C$2:$C$8</xm:f>
          </x14:formula1>
          <xm:sqref>H2:H90 H92:H111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2C5E-02BA-46D8-A642-39EE1947759D}">
  <dimension ref="A1:B111"/>
  <sheetViews>
    <sheetView rightToLeft="1" topLeftCell="A67" workbookViewId="0">
      <selection activeCell="B77" sqref="B77"/>
    </sheetView>
  </sheetViews>
  <sheetFormatPr defaultRowHeight="14"/>
  <cols>
    <col min="1" max="2" width="30" customWidth="1"/>
  </cols>
  <sheetData>
    <row r="1" spans="1:2">
      <c r="A1" s="1" t="s">
        <v>3</v>
      </c>
      <c r="B1" s="1" t="s">
        <v>4</v>
      </c>
    </row>
    <row r="2" spans="1:2">
      <c r="A2" s="2" t="s">
        <v>153</v>
      </c>
      <c r="B2" s="2" t="s">
        <v>12</v>
      </c>
    </row>
    <row r="3" spans="1:2">
      <c r="A3" s="2" t="s">
        <v>16</v>
      </c>
      <c r="B3" s="2" t="s">
        <v>17</v>
      </c>
    </row>
    <row r="4" spans="1:2">
      <c r="A4" s="2" t="s">
        <v>11</v>
      </c>
      <c r="B4" s="2" t="s">
        <v>19</v>
      </c>
    </row>
    <row r="5" spans="1:2">
      <c r="A5" s="2" t="s">
        <v>23</v>
      </c>
      <c r="B5" s="2" t="s">
        <v>24</v>
      </c>
    </row>
    <row r="6" spans="1:2">
      <c r="A6" s="2" t="s">
        <v>16</v>
      </c>
      <c r="B6" s="2" t="s">
        <v>26</v>
      </c>
    </row>
    <row r="7" spans="1:2" ht="28">
      <c r="A7" s="2" t="s">
        <v>28</v>
      </c>
      <c r="B7" s="2" t="s">
        <v>29</v>
      </c>
    </row>
    <row r="8" spans="1:2">
      <c r="A8" s="2" t="s">
        <v>11</v>
      </c>
      <c r="B8" s="2" t="s">
        <v>44</v>
      </c>
    </row>
    <row r="9" spans="1:2">
      <c r="A9" s="2" t="s">
        <v>23</v>
      </c>
      <c r="B9" s="2" t="s">
        <v>24</v>
      </c>
    </row>
    <row r="10" spans="1:2">
      <c r="A10" s="2" t="s">
        <v>35</v>
      </c>
      <c r="B10" s="2" t="s">
        <v>36</v>
      </c>
    </row>
    <row r="11" spans="1:2">
      <c r="A11" s="2" t="s">
        <v>23</v>
      </c>
      <c r="B11" s="2" t="s">
        <v>38</v>
      </c>
    </row>
    <row r="12" spans="1:2">
      <c r="A12" s="2" t="s">
        <v>16</v>
      </c>
      <c r="B12" s="2" t="s">
        <v>40</v>
      </c>
    </row>
    <row r="13" spans="1:2" ht="28">
      <c r="A13" s="2" t="s">
        <v>153</v>
      </c>
      <c r="B13" s="2" t="s">
        <v>42</v>
      </c>
    </row>
    <row r="14" spans="1:2">
      <c r="A14" s="2" t="s">
        <v>16</v>
      </c>
      <c r="B14" s="2" t="s">
        <v>17</v>
      </c>
    </row>
    <row r="15" spans="1:2" ht="28">
      <c r="A15" s="2" t="s">
        <v>46</v>
      </c>
      <c r="B15" s="2" t="s">
        <v>47</v>
      </c>
    </row>
    <row r="16" spans="1:2" ht="28">
      <c r="A16" s="2" t="s">
        <v>28</v>
      </c>
      <c r="B16" s="2" t="s">
        <v>44</v>
      </c>
    </row>
    <row r="17" spans="1:2" ht="28">
      <c r="A17" s="2" t="s">
        <v>46</v>
      </c>
      <c r="B17" s="2" t="s">
        <v>47</v>
      </c>
    </row>
    <row r="18" spans="1:2">
      <c r="A18" s="2" t="s">
        <v>88</v>
      </c>
      <c r="B18" s="2" t="s">
        <v>89</v>
      </c>
    </row>
    <row r="19" spans="1:2">
      <c r="A19" s="2" t="s">
        <v>16</v>
      </c>
      <c r="B19" s="2" t="s">
        <v>154</v>
      </c>
    </row>
    <row r="20" spans="1:2">
      <c r="A20" s="2" t="s">
        <v>23</v>
      </c>
      <c r="B20" s="2" t="s">
        <v>17</v>
      </c>
    </row>
    <row r="21" spans="1:2">
      <c r="A21" s="2" t="s">
        <v>16</v>
      </c>
      <c r="B21" s="2" t="s">
        <v>32</v>
      </c>
    </row>
    <row r="22" spans="1:2">
      <c r="A22" s="2" t="s">
        <v>23</v>
      </c>
      <c r="B22" s="2" t="s">
        <v>55</v>
      </c>
    </row>
    <row r="23" spans="1:2" ht="28">
      <c r="A23" s="2" t="s">
        <v>28</v>
      </c>
      <c r="B23" s="2" t="s">
        <v>61</v>
      </c>
    </row>
    <row r="24" spans="1:2">
      <c r="A24" s="2" t="s">
        <v>16</v>
      </c>
      <c r="B24" s="2" t="s">
        <v>150</v>
      </c>
    </row>
    <row r="25" spans="1:2" ht="28">
      <c r="A25" s="2" t="s">
        <v>153</v>
      </c>
      <c r="B25" s="2" t="s">
        <v>47</v>
      </c>
    </row>
    <row r="26" spans="1:2">
      <c r="A26" s="2" t="s">
        <v>32</v>
      </c>
      <c r="B26" s="2" t="s">
        <v>32</v>
      </c>
    </row>
    <row r="27" spans="1:2">
      <c r="A27" s="2" t="s">
        <v>88</v>
      </c>
      <c r="B27" s="2" t="s">
        <v>89</v>
      </c>
    </row>
    <row r="28" spans="1:2">
      <c r="A28" s="2" t="s">
        <v>32</v>
      </c>
      <c r="B28" s="2" t="s">
        <v>32</v>
      </c>
    </row>
    <row r="29" spans="1:2">
      <c r="A29" s="2" t="s">
        <v>32</v>
      </c>
      <c r="B29" s="2" t="s">
        <v>32</v>
      </c>
    </row>
    <row r="30" spans="1:2">
      <c r="A30" s="2" t="s">
        <v>88</v>
      </c>
      <c r="B30" s="2" t="s">
        <v>89</v>
      </c>
    </row>
    <row r="31" spans="1:2">
      <c r="A31" s="2" t="s">
        <v>23</v>
      </c>
      <c r="B31" s="2" t="s">
        <v>61</v>
      </c>
    </row>
    <row r="32" spans="1:2" ht="28">
      <c r="A32" s="2" t="s">
        <v>28</v>
      </c>
      <c r="B32" s="2" t="s">
        <v>100</v>
      </c>
    </row>
    <row r="33" spans="1:2">
      <c r="A33" s="2" t="s">
        <v>88</v>
      </c>
      <c r="B33" s="2" t="s">
        <v>89</v>
      </c>
    </row>
    <row r="34" spans="1:2" ht="28">
      <c r="A34" s="2" t="s">
        <v>28</v>
      </c>
      <c r="B34" s="2" t="s">
        <v>29</v>
      </c>
    </row>
    <row r="35" spans="1:2">
      <c r="A35" s="2" t="s">
        <v>16</v>
      </c>
      <c r="B35" s="2" t="s">
        <v>40</v>
      </c>
    </row>
    <row r="36" spans="1:2">
      <c r="A36" s="2" t="s">
        <v>16</v>
      </c>
      <c r="B36" s="2" t="s">
        <v>19</v>
      </c>
    </row>
    <row r="37" spans="1:2">
      <c r="A37" s="2" t="s">
        <v>11</v>
      </c>
      <c r="B37" s="2" t="s">
        <v>19</v>
      </c>
    </row>
    <row r="38" spans="1:2">
      <c r="A38" s="2" t="s">
        <v>32</v>
      </c>
      <c r="B38" s="2" t="s">
        <v>32</v>
      </c>
    </row>
    <row r="39" spans="1:2">
      <c r="A39" s="2" t="s">
        <v>88</v>
      </c>
      <c r="B39" s="2" t="s">
        <v>89</v>
      </c>
    </row>
    <row r="40" spans="1:2">
      <c r="A40" s="2" t="s">
        <v>16</v>
      </c>
      <c r="B40" s="2" t="s">
        <v>150</v>
      </c>
    </row>
    <row r="41" spans="1:2">
      <c r="A41" s="2" t="s">
        <v>153</v>
      </c>
      <c r="B41" s="2" t="s">
        <v>24</v>
      </c>
    </row>
    <row r="42" spans="1:2">
      <c r="A42" s="2" t="s">
        <v>16</v>
      </c>
      <c r="B42" s="2" t="s">
        <v>150</v>
      </c>
    </row>
    <row r="43" spans="1:2">
      <c r="A43" s="2" t="s">
        <v>16</v>
      </c>
      <c r="B43" s="2" t="s">
        <v>26</v>
      </c>
    </row>
    <row r="44" spans="1:2">
      <c r="A44" s="2" t="s">
        <v>88</v>
      </c>
      <c r="B44" s="2" t="s">
        <v>89</v>
      </c>
    </row>
    <row r="45" spans="1:2">
      <c r="A45" s="2" t="s">
        <v>16</v>
      </c>
      <c r="B45" s="2" t="s">
        <v>44</v>
      </c>
    </row>
    <row r="46" spans="1:2">
      <c r="A46" s="2" t="s">
        <v>11</v>
      </c>
      <c r="B46" s="2" t="s">
        <v>19</v>
      </c>
    </row>
    <row r="47" spans="1:2">
      <c r="A47" s="2" t="s">
        <v>88</v>
      </c>
      <c r="B47" s="2" t="s">
        <v>89</v>
      </c>
    </row>
    <row r="48" spans="1:2" ht="28">
      <c r="A48" s="2" t="s">
        <v>28</v>
      </c>
      <c r="B48" s="2" t="s">
        <v>190</v>
      </c>
    </row>
    <row r="49" spans="1:2">
      <c r="A49" s="2" t="s">
        <v>23</v>
      </c>
      <c r="B49" s="2" t="s">
        <v>55</v>
      </c>
    </row>
    <row r="50" spans="1:2">
      <c r="A50" s="2" t="s">
        <v>35</v>
      </c>
      <c r="B50" s="2" t="s">
        <v>36</v>
      </c>
    </row>
    <row r="51" spans="1:2">
      <c r="A51" s="2" t="s">
        <v>16</v>
      </c>
      <c r="B51" s="2" t="s">
        <v>24</v>
      </c>
    </row>
    <row r="52" spans="1:2">
      <c r="A52" s="2" t="s">
        <v>11</v>
      </c>
      <c r="B52" s="2" t="s">
        <v>19</v>
      </c>
    </row>
    <row r="53" spans="1:2">
      <c r="A53" s="2" t="s">
        <v>32</v>
      </c>
      <c r="B53" s="2" t="s">
        <v>32</v>
      </c>
    </row>
    <row r="54" spans="1:2">
      <c r="A54" s="2" t="s">
        <v>23</v>
      </c>
      <c r="B54" s="2" t="s">
        <v>24</v>
      </c>
    </row>
    <row r="55" spans="1:2">
      <c r="A55" s="2" t="s">
        <v>23</v>
      </c>
      <c r="B55" s="2" t="s">
        <v>24</v>
      </c>
    </row>
    <row r="56" spans="1:2">
      <c r="A56" s="2" t="s">
        <v>11</v>
      </c>
      <c r="B56" s="2" t="s">
        <v>55</v>
      </c>
    </row>
    <row r="57" spans="1:2">
      <c r="A57" s="2" t="s">
        <v>11</v>
      </c>
      <c r="B57" s="2" t="s">
        <v>55</v>
      </c>
    </row>
    <row r="58" spans="1:2">
      <c r="A58" s="2" t="s">
        <v>11</v>
      </c>
      <c r="B58" s="2" t="s">
        <v>61</v>
      </c>
    </row>
    <row r="59" spans="1:2" ht="28">
      <c r="A59" s="2" t="s">
        <v>28</v>
      </c>
      <c r="B59" s="2" t="s">
        <v>61</v>
      </c>
    </row>
    <row r="60" spans="1:2">
      <c r="A60" s="2" t="s">
        <v>23</v>
      </c>
      <c r="B60" s="2" t="s">
        <v>61</v>
      </c>
    </row>
    <row r="61" spans="1:2" ht="28">
      <c r="A61" s="2" t="s">
        <v>16</v>
      </c>
      <c r="B61" s="2" t="s">
        <v>100</v>
      </c>
    </row>
    <row r="62" spans="1:2" ht="28">
      <c r="A62" s="2" t="s">
        <v>153</v>
      </c>
      <c r="B62" s="2" t="s">
        <v>142</v>
      </c>
    </row>
    <row r="63" spans="1:2" ht="28">
      <c r="A63" s="2" t="s">
        <v>153</v>
      </c>
      <c r="B63" s="2" t="s">
        <v>142</v>
      </c>
    </row>
    <row r="64" spans="1:2">
      <c r="A64" s="2" t="s">
        <v>46</v>
      </c>
      <c r="B64" s="2" t="s">
        <v>29</v>
      </c>
    </row>
    <row r="65" spans="1:2">
      <c r="A65" s="2" t="s">
        <v>32</v>
      </c>
      <c r="B65" s="2" t="s">
        <v>32</v>
      </c>
    </row>
    <row r="66" spans="1:2">
      <c r="A66" s="2" t="s">
        <v>11</v>
      </c>
      <c r="B66" s="2" t="s">
        <v>19</v>
      </c>
    </row>
    <row r="67" spans="1:2" ht="28">
      <c r="A67" s="2" t="s">
        <v>153</v>
      </c>
      <c r="B67" s="2" t="s">
        <v>142</v>
      </c>
    </row>
    <row r="68" spans="1:2">
      <c r="A68" s="2" t="s">
        <v>11</v>
      </c>
      <c r="B68" s="2" t="s">
        <v>19</v>
      </c>
    </row>
    <row r="69" spans="1:2">
      <c r="A69" s="2" t="s">
        <v>88</v>
      </c>
      <c r="B69" s="2" t="s">
        <v>89</v>
      </c>
    </row>
    <row r="70" spans="1:2">
      <c r="A70" s="2" t="s">
        <v>32</v>
      </c>
      <c r="B70" s="2" t="s">
        <v>32</v>
      </c>
    </row>
    <row r="71" spans="1:2" ht="28">
      <c r="A71" s="2" t="s">
        <v>23</v>
      </c>
      <c r="B71" s="2" t="s">
        <v>142</v>
      </c>
    </row>
    <row r="72" spans="1:2">
      <c r="A72" s="2" t="s">
        <v>23</v>
      </c>
      <c r="B72" s="2" t="s">
        <v>24</v>
      </c>
    </row>
    <row r="73" spans="1:2">
      <c r="A73" s="2" t="s">
        <v>35</v>
      </c>
      <c r="B73" s="2" t="s">
        <v>36</v>
      </c>
    </row>
    <row r="74" spans="1:2" ht="28">
      <c r="A74" s="2" t="s">
        <v>153</v>
      </c>
      <c r="B74" s="2" t="s">
        <v>142</v>
      </c>
    </row>
    <row r="75" spans="1:2" ht="28">
      <c r="A75" s="2" t="s">
        <v>28</v>
      </c>
      <c r="B75" s="2" t="s">
        <v>190</v>
      </c>
    </row>
    <row r="76" spans="1:2">
      <c r="A76" s="2" t="s">
        <v>23</v>
      </c>
      <c r="B76" s="2" t="s">
        <v>24</v>
      </c>
    </row>
    <row r="77" spans="1:2">
      <c r="A77" s="2" t="s">
        <v>11</v>
      </c>
      <c r="B77" s="2" t="s">
        <v>55</v>
      </c>
    </row>
    <row r="78" spans="1:2" ht="28">
      <c r="A78" s="2" t="s">
        <v>28</v>
      </c>
      <c r="B78" s="2" t="s">
        <v>29</v>
      </c>
    </row>
    <row r="79" spans="1:2" ht="28">
      <c r="A79" s="2" t="s">
        <v>28</v>
      </c>
      <c r="B79" s="2" t="s">
        <v>29</v>
      </c>
    </row>
    <row r="80" spans="1:2">
      <c r="A80" s="2" t="s">
        <v>16</v>
      </c>
      <c r="B80" s="2" t="s">
        <v>150</v>
      </c>
    </row>
    <row r="81" spans="1:2" ht="28">
      <c r="A81" s="2" t="s">
        <v>28</v>
      </c>
      <c r="B81" s="2" t="s">
        <v>190</v>
      </c>
    </row>
    <row r="82" spans="1:2">
      <c r="A82" s="2" t="s">
        <v>32</v>
      </c>
      <c r="B82" s="2" t="s">
        <v>32</v>
      </c>
    </row>
    <row r="83" spans="1:2">
      <c r="A83" s="2" t="s">
        <v>88</v>
      </c>
      <c r="B83" s="2" t="s">
        <v>89</v>
      </c>
    </row>
    <row r="84" spans="1:2" ht="28">
      <c r="A84" s="2" t="s">
        <v>28</v>
      </c>
      <c r="B84" s="2" t="s">
        <v>61</v>
      </c>
    </row>
    <row r="85" spans="1:2">
      <c r="A85" s="2" t="s">
        <v>23</v>
      </c>
      <c r="B85" s="2" t="s">
        <v>24</v>
      </c>
    </row>
    <row r="86" spans="1:2">
      <c r="A86" s="2" t="s">
        <v>88</v>
      </c>
      <c r="B86" s="2" t="s">
        <v>89</v>
      </c>
    </row>
    <row r="87" spans="1:2">
      <c r="A87" s="2" t="s">
        <v>88</v>
      </c>
      <c r="B87" s="2" t="s">
        <v>89</v>
      </c>
    </row>
    <row r="88" spans="1:2" ht="28">
      <c r="A88" s="2" t="s">
        <v>28</v>
      </c>
      <c r="B88" s="2" t="s">
        <v>55</v>
      </c>
    </row>
    <row r="89" spans="1:2">
      <c r="A89" s="2" t="s">
        <v>32</v>
      </c>
      <c r="B89" s="2" t="s">
        <v>32</v>
      </c>
    </row>
    <row r="90" spans="1:2">
      <c r="A90" s="2" t="s">
        <v>32</v>
      </c>
      <c r="B90" s="2" t="s">
        <v>32</v>
      </c>
    </row>
    <row r="91" spans="1:2">
      <c r="A91" s="2" t="s">
        <v>88</v>
      </c>
      <c r="B91" s="2" t="s">
        <v>89</v>
      </c>
    </row>
    <row r="92" spans="1:2" ht="28">
      <c r="A92" s="2" t="s">
        <v>28</v>
      </c>
      <c r="B92" s="2" t="s">
        <v>55</v>
      </c>
    </row>
    <row r="93" spans="1:2">
      <c r="A93" s="2" t="s">
        <v>16</v>
      </c>
      <c r="B93" s="2" t="s">
        <v>44</v>
      </c>
    </row>
    <row r="94" spans="1:2">
      <c r="A94" s="2" t="s">
        <v>23</v>
      </c>
      <c r="B94" s="2" t="s">
        <v>24</v>
      </c>
    </row>
    <row r="95" spans="1:2">
      <c r="A95" s="2" t="s">
        <v>11</v>
      </c>
      <c r="B95" s="2" t="s">
        <v>19</v>
      </c>
    </row>
    <row r="96" spans="1:2">
      <c r="A96" s="2" t="s">
        <v>23</v>
      </c>
      <c r="B96" s="2" t="s">
        <v>24</v>
      </c>
    </row>
    <row r="97" spans="1:2" ht="28">
      <c r="A97" s="2" t="s">
        <v>46</v>
      </c>
      <c r="B97" s="2" t="s">
        <v>47</v>
      </c>
    </row>
    <row r="98" spans="1:2">
      <c r="A98" s="2" t="s">
        <v>23</v>
      </c>
      <c r="B98" s="2" t="s">
        <v>24</v>
      </c>
    </row>
    <row r="99" spans="1:2">
      <c r="A99" s="2" t="s">
        <v>32</v>
      </c>
      <c r="B99" s="2" t="s">
        <v>32</v>
      </c>
    </row>
    <row r="100" spans="1:2">
      <c r="A100" s="2" t="s">
        <v>32</v>
      </c>
      <c r="B100" s="2" t="s">
        <v>32</v>
      </c>
    </row>
    <row r="101" spans="1:2">
      <c r="A101" s="2" t="s">
        <v>88</v>
      </c>
      <c r="B101" s="2" t="s">
        <v>89</v>
      </c>
    </row>
    <row r="102" spans="1:2" ht="14.5">
      <c r="A102" s="8" t="s">
        <v>11</v>
      </c>
      <c r="B102" s="8" t="s">
        <v>19</v>
      </c>
    </row>
    <row r="103" spans="1:2" ht="14.5">
      <c r="A103" s="2" t="s">
        <v>11</v>
      </c>
      <c r="B103" s="8" t="s">
        <v>19</v>
      </c>
    </row>
    <row r="104" spans="1:2">
      <c r="A104" s="2" t="s">
        <v>11</v>
      </c>
      <c r="B104" s="2" t="s">
        <v>19</v>
      </c>
    </row>
    <row r="105" spans="1:2">
      <c r="A105" s="2" t="s">
        <v>23</v>
      </c>
      <c r="B105" s="2" t="s">
        <v>24</v>
      </c>
    </row>
    <row r="106" spans="1:2">
      <c r="A106" s="2" t="s">
        <v>88</v>
      </c>
      <c r="B106" s="2" t="s">
        <v>89</v>
      </c>
    </row>
    <row r="107" spans="1:2">
      <c r="A107" s="2" t="s">
        <v>32</v>
      </c>
      <c r="B107" s="2" t="s">
        <v>32</v>
      </c>
    </row>
    <row r="108" spans="1:2">
      <c r="A108" s="2" t="s">
        <v>88</v>
      </c>
      <c r="B108" s="2" t="s">
        <v>89</v>
      </c>
    </row>
    <row r="109" spans="1:2" ht="28">
      <c r="A109" s="2" t="s">
        <v>28</v>
      </c>
      <c r="B109" s="2" t="s">
        <v>61</v>
      </c>
    </row>
    <row r="110" spans="1:2">
      <c r="A110" s="2" t="s">
        <v>88</v>
      </c>
      <c r="B110" s="2" t="s">
        <v>89</v>
      </c>
    </row>
    <row r="111" spans="1:2">
      <c r="A111" s="2" t="s">
        <v>32</v>
      </c>
      <c r="B111" s="2" t="s">
        <v>32</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xr:uid="{E1A3D7F3-AD27-4A29-9DA8-3C7573CC13BF}">
          <x14:formula1>
            <xm:f>Lists!$B$2:$B$23</xm:f>
          </x14:formula1>
          <xm:sqref>B2:B111</xm:sqref>
        </x14:dataValidation>
        <x14:dataValidation type="list" xr:uid="{B16FF16C-DBEB-4E38-8937-6A73F493AF27}">
          <x14:formula1>
            <xm:f>Lists!$A$2:$A$10</xm:f>
          </x14:formula1>
          <xm:sqref>A2:A111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rightToLeft="1" workbookViewId="0">
      <selection activeCell="A22" sqref="A22"/>
    </sheetView>
  </sheetViews>
  <sheetFormatPr defaultRowHeight="14"/>
  <cols>
    <col min="1" max="4" width="38" customWidth="1"/>
  </cols>
  <sheetData>
    <row r="1" spans="1:4">
      <c r="A1" s="4" t="s">
        <v>3</v>
      </c>
      <c r="B1" s="4" t="s">
        <v>4</v>
      </c>
      <c r="C1" s="4" t="s">
        <v>5</v>
      </c>
      <c r="D1" s="4" t="s">
        <v>6</v>
      </c>
    </row>
    <row r="2" spans="1:4">
      <c r="A2" s="2" t="s">
        <v>23</v>
      </c>
      <c r="B2" s="2" t="s">
        <v>44</v>
      </c>
      <c r="C2" s="2" t="s">
        <v>13</v>
      </c>
      <c r="D2" s="2" t="s">
        <v>14</v>
      </c>
    </row>
    <row r="3" spans="1:4">
      <c r="A3" s="2" t="s">
        <v>16</v>
      </c>
      <c r="B3" s="2" t="s">
        <v>17</v>
      </c>
      <c r="C3" s="2" t="s">
        <v>20</v>
      </c>
      <c r="D3" s="2" t="s">
        <v>21</v>
      </c>
    </row>
    <row r="4" spans="1:4">
      <c r="A4" s="2" t="s">
        <v>11</v>
      </c>
      <c r="B4" s="2" t="s">
        <v>26</v>
      </c>
      <c r="C4" s="2" t="s">
        <v>30</v>
      </c>
      <c r="D4" s="2" t="s">
        <v>149</v>
      </c>
    </row>
    <row r="5" spans="1:4">
      <c r="A5" s="2" t="s">
        <v>35</v>
      </c>
      <c r="B5" s="2" t="s">
        <v>150</v>
      </c>
      <c r="C5" s="2" t="s">
        <v>151</v>
      </c>
      <c r="D5" s="2" t="s">
        <v>152</v>
      </c>
    </row>
    <row r="6" spans="1:4">
      <c r="A6" s="2" t="s">
        <v>28</v>
      </c>
      <c r="B6" s="2" t="s">
        <v>40</v>
      </c>
      <c r="C6" t="s">
        <v>184</v>
      </c>
      <c r="D6" s="2"/>
    </row>
    <row r="7" spans="1:4">
      <c r="A7" s="2" t="s">
        <v>153</v>
      </c>
      <c r="B7" s="2" t="s">
        <v>12</v>
      </c>
      <c r="C7" s="2" t="s">
        <v>90</v>
      </c>
      <c r="D7" s="2"/>
    </row>
    <row r="8" spans="1:4">
      <c r="A8" s="2" t="s">
        <v>46</v>
      </c>
      <c r="B8" s="2" t="s">
        <v>55</v>
      </c>
      <c r="C8" s="2" t="s">
        <v>32</v>
      </c>
      <c r="D8" s="2"/>
    </row>
    <row r="9" spans="1:4">
      <c r="A9" s="2" t="s">
        <v>88</v>
      </c>
      <c r="B9" s="2" t="s">
        <v>19</v>
      </c>
      <c r="C9" s="2"/>
      <c r="D9" s="2"/>
    </row>
    <row r="10" spans="1:4">
      <c r="A10" s="2" t="s">
        <v>32</v>
      </c>
      <c r="B10" s="2" t="s">
        <v>38</v>
      </c>
      <c r="C10" s="2"/>
      <c r="D10" s="2"/>
    </row>
    <row r="11" spans="1:4">
      <c r="A11" s="2"/>
      <c r="B11" s="2" t="s">
        <v>24</v>
      </c>
      <c r="C11" s="2"/>
      <c r="D11" s="2"/>
    </row>
    <row r="12" spans="1:4">
      <c r="A12" s="2"/>
      <c r="B12" t="s">
        <v>190</v>
      </c>
      <c r="C12" s="2"/>
      <c r="D12" s="2"/>
    </row>
    <row r="13" spans="1:4">
      <c r="A13" s="2"/>
      <c r="B13" s="2" t="s">
        <v>36</v>
      </c>
      <c r="C13" s="2"/>
      <c r="D13" s="2"/>
    </row>
    <row r="14" spans="1:4">
      <c r="A14" s="2"/>
      <c r="B14" s="2" t="s">
        <v>68</v>
      </c>
      <c r="C14" s="2"/>
      <c r="D14" s="2"/>
    </row>
    <row r="15" spans="1:4">
      <c r="A15" s="2"/>
      <c r="B15" s="2" t="s">
        <v>29</v>
      </c>
      <c r="C15" s="2"/>
      <c r="D15" s="2"/>
    </row>
    <row r="16" spans="1:4">
      <c r="A16" s="2"/>
      <c r="B16" s="2" t="s">
        <v>61</v>
      </c>
      <c r="C16" s="2"/>
      <c r="D16" s="2"/>
    </row>
    <row r="17" spans="1:4">
      <c r="A17" s="2"/>
      <c r="B17" s="2" t="s">
        <v>100</v>
      </c>
      <c r="C17" s="2"/>
      <c r="D17" s="2"/>
    </row>
    <row r="18" spans="1:4">
      <c r="A18" s="2"/>
      <c r="B18" s="2" t="s">
        <v>47</v>
      </c>
      <c r="C18" s="2"/>
      <c r="D18" s="2"/>
    </row>
    <row r="19" spans="1:4">
      <c r="A19" s="2"/>
      <c r="B19" s="2" t="s">
        <v>42</v>
      </c>
      <c r="C19" s="2"/>
      <c r="D19" s="2"/>
    </row>
    <row r="20" spans="1:4">
      <c r="A20" s="2"/>
      <c r="B20" s="2" t="s">
        <v>154</v>
      </c>
      <c r="C20" s="2"/>
      <c r="D20" s="2"/>
    </row>
    <row r="21" spans="1:4" ht="28">
      <c r="A21" s="2"/>
      <c r="B21" s="2" t="s">
        <v>142</v>
      </c>
      <c r="C21" s="2"/>
      <c r="D21" s="2"/>
    </row>
    <row r="22" spans="1:4">
      <c r="A22" s="2"/>
      <c r="B22" s="2" t="s">
        <v>89</v>
      </c>
      <c r="C22" s="2"/>
      <c r="D22" s="2"/>
    </row>
    <row r="23" spans="1:4">
      <c r="A23" s="2"/>
      <c r="B23" s="2" t="s">
        <v>32</v>
      </c>
      <c r="C23" s="2"/>
      <c r="D2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rightToLeft="1" topLeftCell="A4" workbookViewId="0"/>
  </sheetViews>
  <sheetFormatPr defaultRowHeight="14"/>
  <cols>
    <col min="1" max="1" width="28" customWidth="1"/>
    <col min="2" max="2" width="52" customWidth="1"/>
    <col min="3" max="3" width="70" customWidth="1"/>
  </cols>
  <sheetData>
    <row r="1" spans="1:3">
      <c r="A1" s="4" t="s">
        <v>155</v>
      </c>
      <c r="B1" s="4" t="s">
        <v>156</v>
      </c>
      <c r="C1" s="4" t="s">
        <v>157</v>
      </c>
    </row>
    <row r="2" spans="1:3">
      <c r="A2" t="s">
        <v>3</v>
      </c>
      <c r="B2" t="s">
        <v>158</v>
      </c>
      <c r="C2" t="s">
        <v>159</v>
      </c>
    </row>
    <row r="3" spans="1:3">
      <c r="A3" t="s">
        <v>4</v>
      </c>
      <c r="B3" t="s">
        <v>160</v>
      </c>
      <c r="C3" t="s">
        <v>161</v>
      </c>
    </row>
    <row r="4" spans="1:3">
      <c r="A4" t="s">
        <v>5</v>
      </c>
      <c r="B4" t="s">
        <v>162</v>
      </c>
      <c r="C4" t="s">
        <v>163</v>
      </c>
    </row>
    <row r="5" spans="1:3">
      <c r="A5" t="s">
        <v>6</v>
      </c>
      <c r="B5" t="s">
        <v>164</v>
      </c>
      <c r="C5" t="s">
        <v>165</v>
      </c>
    </row>
    <row r="6" spans="1:3">
      <c r="A6" t="s">
        <v>7</v>
      </c>
      <c r="B6" t="s">
        <v>166</v>
      </c>
      <c r="C6" t="s">
        <v>167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rightToLeft="1" workbookViewId="0"/>
  </sheetViews>
  <sheetFormatPr defaultRowHeight="14"/>
  <cols>
    <col min="1" max="1" width="110" customWidth="1"/>
  </cols>
  <sheetData>
    <row r="1" spans="1:1" ht="18">
      <c r="A1" s="5" t="s">
        <v>168</v>
      </c>
    </row>
    <row r="2" spans="1:1">
      <c r="A2" s="2"/>
    </row>
    <row r="3" spans="1:1">
      <c r="A3" s="2" t="s">
        <v>169</v>
      </c>
    </row>
    <row r="4" spans="1:1">
      <c r="A4" s="2" t="s">
        <v>170</v>
      </c>
    </row>
    <row r="5" spans="1:1">
      <c r="A5" s="2" t="s">
        <v>171</v>
      </c>
    </row>
    <row r="6" spans="1:1" ht="28">
      <c r="A6" s="2" t="s">
        <v>172</v>
      </c>
    </row>
    <row r="7" spans="1:1">
      <c r="A7" s="2" t="s">
        <v>173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6A3E-1A89-4889-BE0C-8E06AD45A25D}">
  <dimension ref="A3:E49"/>
  <sheetViews>
    <sheetView rightToLeft="1" zoomScale="85" zoomScaleNormal="85" workbookViewId="0">
      <selection activeCell="C40" sqref="C40"/>
    </sheetView>
  </sheetViews>
  <sheetFormatPr defaultRowHeight="14"/>
  <cols>
    <col min="1" max="1" width="33.83203125" bestFit="1" customWidth="1"/>
    <col min="2" max="2" width="10.25" style="13" bestFit="1" customWidth="1"/>
    <col min="3" max="3" width="10.25" style="13" customWidth="1"/>
    <col min="4" max="4" width="33.83203125" style="13" bestFit="1" customWidth="1"/>
    <col min="5" max="5" width="10.25" style="13" customWidth="1"/>
  </cols>
  <sheetData>
    <row r="3" spans="1:5">
      <c r="A3" s="10" t="s">
        <v>325</v>
      </c>
      <c r="B3" s="18" t="s">
        <v>327</v>
      </c>
      <c r="C3" s="18"/>
      <c r="D3" s="18"/>
      <c r="E3" s="18"/>
    </row>
    <row r="4" spans="1:5">
      <c r="A4" s="11" t="s">
        <v>28</v>
      </c>
      <c r="B4" s="19">
        <v>0.59063262900000013</v>
      </c>
      <c r="C4" s="19">
        <f>GETPIVOTDATA("Revenue",$A$3,"Main Theme","Education &amp; Professional Development")/$B$15</f>
        <v>7.2836678875323732E-2</v>
      </c>
      <c r="D4" s="19"/>
      <c r="E4" s="19"/>
    </row>
    <row r="5" spans="1:5">
      <c r="A5" s="11" t="s">
        <v>46</v>
      </c>
      <c r="B5" s="19">
        <v>0.20773660800000002</v>
      </c>
      <c r="C5" s="19"/>
      <c r="D5" s="19"/>
      <c r="E5" s="19"/>
    </row>
    <row r="6" spans="1:5">
      <c r="A6" s="11" t="s">
        <v>153</v>
      </c>
      <c r="B6" s="19">
        <v>2.929608698</v>
      </c>
      <c r="C6" s="19"/>
      <c r="D6" s="19"/>
      <c r="E6" s="19"/>
    </row>
    <row r="7" spans="1:5">
      <c r="A7" s="11" t="s">
        <v>88</v>
      </c>
      <c r="B7" s="19">
        <v>0.32801982199999996</v>
      </c>
      <c r="C7" s="19"/>
      <c r="D7" s="19"/>
      <c r="E7" s="19"/>
    </row>
    <row r="8" spans="1:5">
      <c r="A8" s="11" t="s">
        <v>324</v>
      </c>
      <c r="B8" s="19">
        <v>4.0559977570000001</v>
      </c>
      <c r="C8" s="19"/>
      <c r="D8" s="19"/>
      <c r="E8" s="19"/>
    </row>
    <row r="9" spans="1:5">
      <c r="B9"/>
      <c r="C9" s="19"/>
      <c r="D9" s="19"/>
      <c r="E9" s="19"/>
    </row>
    <row r="10" spans="1:5">
      <c r="B10"/>
      <c r="C10" s="19"/>
      <c r="D10" s="19"/>
      <c r="E10" s="19"/>
    </row>
    <row r="11" spans="1:5">
      <c r="B11"/>
      <c r="C11" s="19"/>
      <c r="D11" s="19"/>
      <c r="E11" s="19"/>
    </row>
    <row r="12" spans="1:5">
      <c r="B12"/>
      <c r="C12" s="19"/>
      <c r="D12" s="19"/>
      <c r="E12" s="19"/>
    </row>
    <row r="13" spans="1:5">
      <c r="B13"/>
      <c r="C13" s="19"/>
      <c r="D13" s="19"/>
      <c r="E13" s="19"/>
    </row>
    <row r="14" spans="1:5">
      <c r="B14"/>
      <c r="C14" s="19"/>
      <c r="D14" s="19"/>
      <c r="E14" s="19"/>
    </row>
    <row r="15" spans="1:5">
      <c r="B15" s="19">
        <v>8.109</v>
      </c>
      <c r="C15" s="19"/>
      <c r="D15" s="19"/>
      <c r="E15" s="19"/>
    </row>
    <row r="16" spans="1:5">
      <c r="B16"/>
      <c r="C16" s="19"/>
      <c r="D16" s="19"/>
      <c r="E16" s="19"/>
    </row>
    <row r="17" spans="2:5">
      <c r="B17"/>
      <c r="C17" s="19"/>
      <c r="D17" s="19"/>
      <c r="E17" s="19"/>
    </row>
    <row r="18" spans="2:5">
      <c r="B18"/>
      <c r="C18" s="19"/>
      <c r="D18" s="19"/>
      <c r="E18" s="19"/>
    </row>
    <row r="19" spans="2:5">
      <c r="B19" s="23" t="s">
        <v>328</v>
      </c>
      <c r="C19" s="23" t="s">
        <v>327</v>
      </c>
      <c r="D19" s="22" t="s">
        <v>325</v>
      </c>
      <c r="E19" s="19"/>
    </row>
    <row r="20" spans="2:5">
      <c r="B20" s="26">
        <v>0.36125813243717481</v>
      </c>
      <c r="C20" s="20">
        <v>2.929608698</v>
      </c>
      <c r="D20" s="21" t="s">
        <v>153</v>
      </c>
    </row>
    <row r="21" spans="2:5">
      <c r="B21" s="27">
        <v>0.21071680474513224</v>
      </c>
      <c r="C21" s="20">
        <v>1.7087996880000003</v>
      </c>
      <c r="D21" s="21" t="s">
        <v>16</v>
      </c>
    </row>
    <row r="22" spans="2:5">
      <c r="B22" s="27">
        <v>0.13139111215851046</v>
      </c>
      <c r="C22" s="20">
        <v>1.0655110859999997</v>
      </c>
      <c r="D22" s="21" t="s">
        <v>11</v>
      </c>
    </row>
    <row r="23" spans="2:5">
      <c r="B23" s="27">
        <v>0.10499152410056722</v>
      </c>
      <c r="C23" s="20">
        <v>0.85142465899999997</v>
      </c>
      <c r="D23" s="21" t="s">
        <v>23</v>
      </c>
    </row>
    <row r="24" spans="2:5">
      <c r="B24" s="26">
        <v>7.2832539258455842E-2</v>
      </c>
      <c r="C24" s="20">
        <v>0.59063262899999991</v>
      </c>
      <c r="D24" s="21" t="s">
        <v>28</v>
      </c>
    </row>
    <row r="25" spans="2:5">
      <c r="B25" s="26">
        <v>4.0449029380269307E-2</v>
      </c>
      <c r="C25" s="20">
        <v>0.32801982200000002</v>
      </c>
      <c r="D25" s="21" t="s">
        <v>88</v>
      </c>
    </row>
    <row r="26" spans="2:5">
      <c r="B26" s="26">
        <v>3.1810139828043399E-2</v>
      </c>
      <c r="C26" s="20">
        <v>0.25796308499999998</v>
      </c>
      <c r="D26" s="21" t="s">
        <v>32</v>
      </c>
    </row>
    <row r="27" spans="2:5">
      <c r="B27" s="26">
        <v>2.5616574355526254E-2</v>
      </c>
      <c r="C27" s="20">
        <v>0.20773660799999999</v>
      </c>
      <c r="D27" s="21" t="s">
        <v>46</v>
      </c>
    </row>
    <row r="28" spans="2:5">
      <c r="B28" s="26">
        <v>2.0934143736320469E-2</v>
      </c>
      <c r="C28" s="20">
        <v>0.16976462000000003</v>
      </c>
      <c r="D28" s="21" t="s">
        <v>35</v>
      </c>
    </row>
    <row r="29" spans="2:5">
      <c r="C29" s="19">
        <v>8.1094608949999998</v>
      </c>
      <c r="D29" s="11" t="s">
        <v>324</v>
      </c>
    </row>
    <row r="31" spans="2:5">
      <c r="B31"/>
      <c r="C31" s="19"/>
      <c r="D31" s="19"/>
      <c r="E31" s="19"/>
    </row>
    <row r="32" spans="2:5">
      <c r="E32" s="19"/>
    </row>
    <row r="33" spans="2:5">
      <c r="D33" s="24"/>
      <c r="E33" s="24"/>
    </row>
    <row r="34" spans="2:5">
      <c r="D34" s="25"/>
      <c r="E34" s="25"/>
    </row>
    <row r="35" spans="2:5">
      <c r="D35" s="25"/>
      <c r="E35" s="25"/>
    </row>
    <row r="36" spans="2:5">
      <c r="D36" s="25"/>
      <c r="E36" s="25"/>
    </row>
    <row r="37" spans="2:5" ht="15.5">
      <c r="B37" s="13">
        <v>11.06</v>
      </c>
      <c r="C37" s="28">
        <v>14.67</v>
      </c>
      <c r="D37" s="25"/>
      <c r="E37" s="25"/>
    </row>
    <row r="38" spans="2:5">
      <c r="B38" s="13">
        <f>B37+C37</f>
        <v>25.73</v>
      </c>
      <c r="C38" s="13">
        <v>25.78</v>
      </c>
      <c r="D38" s="25"/>
      <c r="E38" s="25"/>
    </row>
    <row r="39" spans="2:5">
      <c r="B39" s="13">
        <f>GETPIVOTDATA("Revenue",$A$3)/B38</f>
        <v>0.15763691243684416</v>
      </c>
      <c r="C39" s="13">
        <f>GETPIVOTDATA("Revenue",$A$3)/C38</f>
        <v>0.15733117754072926</v>
      </c>
      <c r="D39" s="25"/>
      <c r="E39" s="25"/>
    </row>
    <row r="40" spans="2:5">
      <c r="D40" s="25"/>
      <c r="E40" s="25"/>
    </row>
    <row r="41" spans="2:5">
      <c r="D41" s="25"/>
      <c r="E41" s="25"/>
    </row>
    <row r="42" spans="2:5">
      <c r="B42" s="19"/>
      <c r="D42" s="25"/>
      <c r="E42" s="25"/>
    </row>
    <row r="43" spans="2:5">
      <c r="D43" s="19"/>
      <c r="E43" s="19"/>
    </row>
    <row r="44" spans="2:5">
      <c r="B44"/>
      <c r="C44" s="19"/>
      <c r="D44" s="19"/>
      <c r="E44" s="19"/>
    </row>
    <row r="45" spans="2:5">
      <c r="B45"/>
      <c r="C45" s="19"/>
      <c r="D45" s="19"/>
      <c r="E45" s="19"/>
    </row>
    <row r="46" spans="2:5">
      <c r="B46"/>
      <c r="C46" s="19"/>
      <c r="D46" s="19"/>
      <c r="E46" s="19"/>
    </row>
    <row r="47" spans="2:5">
      <c r="B47"/>
      <c r="C47" s="19"/>
      <c r="D47" s="19"/>
      <c r="E47" s="19"/>
    </row>
    <row r="48" spans="2:5">
      <c r="B48"/>
      <c r="C48" s="19"/>
      <c r="D48" s="19"/>
      <c r="E48" s="19"/>
    </row>
    <row r="49" spans="2:5">
      <c r="B49"/>
      <c r="C49" s="19"/>
      <c r="D49" s="19"/>
      <c r="E49" s="19"/>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Graf</vt:lpstr>
      <vt:lpstr>Classification_Template</vt:lpstr>
      <vt:lpstr>Sheet2</vt:lpstr>
      <vt:lpstr>Lists</vt:lpstr>
      <vt:lpstr>Field_Definitions</vt:lpstr>
      <vt:lpstr>Instructions</vt:lpstr>
      <vt:lpstr>Graf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Gery Abramovich</cp:lastModifiedBy>
  <dcterms:created xsi:type="dcterms:W3CDTF">2026-07-05T06:53:30Z</dcterms:created>
  <dcterms:modified xsi:type="dcterms:W3CDTF">2026-10-17T16:01:04Z</dcterms:modified>
</cp:coreProperties>
</file>